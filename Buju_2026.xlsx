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ingabe" sheetId="1" r:id="rId5"/>
    <sheet state="visible" name="Punkte M 5-6" sheetId="2" r:id="rId6"/>
    <sheet state="visible" name="Punkte W 5-6" sheetId="3" r:id="rId7"/>
    <sheet state="visible" name="Punkte M 7-9" sheetId="4" r:id="rId8"/>
    <sheet state="visible" name="Punkte W 7-9" sheetId="5" r:id="rId9"/>
    <sheet state="visible" name="Noten-Matrix-Jungen" sheetId="6" r:id="rId10"/>
    <sheet state="visible" name="Formeln" sheetId="7" r:id="rId11"/>
    <sheet state="visible" name="Noten-Matrix-Mädchen" sheetId="8" r:id="rId12"/>
    <sheet state="visible" name="ASV_Daten" sheetId="9" r:id="rId13"/>
    <sheet state="visible" name="Auswertung" sheetId="10" r:id="rId14"/>
  </sheets>
  <definedNames>
    <definedName name="weiblich9">#REF!</definedName>
    <definedName name="weiblich7">#REF!</definedName>
    <definedName name="n2m">#REF!</definedName>
    <definedName name="N1m">#REF!</definedName>
    <definedName name="männlich10">#REF!</definedName>
    <definedName name="n4w">#REF!</definedName>
    <definedName name="N1w">#REF!</definedName>
    <definedName name="weiblich11">#REF!</definedName>
    <definedName name="n4m">#REF!</definedName>
    <definedName name="weiblich12">#REF!</definedName>
    <definedName name="n2w">#REF!</definedName>
    <definedName name="männlich9">#REF!</definedName>
    <definedName name="männlich12">#REF!</definedName>
    <definedName name="n3w">#REF!</definedName>
    <definedName name="weiblich10">#REF!</definedName>
    <definedName name="männlich8">#REF!</definedName>
    <definedName name="männlich11">#REF!</definedName>
    <definedName name="mannlich7">#REF!</definedName>
    <definedName name="n3m">#REF!</definedName>
    <definedName name="weiblich8">#REF!</definedName>
    <definedName hidden="1" localSheetId="0" name="_xlnm._FilterDatabase">Eingabe!$A$1:$Y$474</definedName>
    <definedName hidden="1" localSheetId="8" name="_xlnm._FilterDatabase">ASV_Daten!$A$1:$E$473</definedName>
  </definedNames>
  <calcPr/>
</workbook>
</file>

<file path=xl/sharedStrings.xml><?xml version="1.0" encoding="utf-8"?>
<sst xmlns="http://schemas.openxmlformats.org/spreadsheetml/2006/main" count="1925" uniqueCount="776">
  <si>
    <t>Klasse</t>
  </si>
  <si>
    <t>Name</t>
  </si>
  <si>
    <t>Vorname</t>
  </si>
  <si>
    <t>Geburtsjahr</t>
  </si>
  <si>
    <t>M/W</t>
  </si>
  <si>
    <t>Stufe</t>
  </si>
  <si>
    <t>Alter</t>
  </si>
  <si>
    <t>Ausdauer</t>
  </si>
  <si>
    <t>P. Ausdauer</t>
  </si>
  <si>
    <t>Sprint</t>
  </si>
  <si>
    <t>P. Sprint</t>
  </si>
  <si>
    <t>Sprung</t>
  </si>
  <si>
    <t>P. Sprung</t>
  </si>
  <si>
    <t>Wurf</t>
  </si>
  <si>
    <t>P.Wurf</t>
  </si>
  <si>
    <t>Datenblatt</t>
  </si>
  <si>
    <t>Notenblatt</t>
  </si>
  <si>
    <t>Gesamt</t>
  </si>
  <si>
    <t>Urkunde</t>
  </si>
  <si>
    <t>Note</t>
  </si>
  <si>
    <t>W</t>
  </si>
  <si>
    <t>4.38</t>
  </si>
  <si>
    <t>Punktematrix Männlich Klasse 5 - 6</t>
  </si>
  <si>
    <t>Ausdauer m 5-6</t>
  </si>
  <si>
    <t>Sprint 50m m 5-6</t>
  </si>
  <si>
    <t>Sprung m 5-6</t>
  </si>
  <si>
    <t>Wurf m 5-6</t>
  </si>
  <si>
    <t>Leistung (Zeit in min:sek)</t>
  </si>
  <si>
    <t>Punkte</t>
  </si>
  <si>
    <t>Leistung (Zeit in sek)</t>
  </si>
  <si>
    <t>Leistung (m)</t>
  </si>
  <si>
    <t>Punktematrix Weiblich Klasse 5 - 6</t>
  </si>
  <si>
    <t>Ausdauer w 5-6</t>
  </si>
  <si>
    <t>Sprint 50m w 5-6</t>
  </si>
  <si>
    <t>Sprung w 5-6</t>
  </si>
  <si>
    <t>Wurf w 5-6</t>
  </si>
  <si>
    <t>Punktematrix Männlich Klasse 7 - 9</t>
  </si>
  <si>
    <t>Ausdauer m 7-9</t>
  </si>
  <si>
    <t>Sprint 75m m 7-9</t>
  </si>
  <si>
    <t>Sprung m 7-9</t>
  </si>
  <si>
    <t>Wurf m 7-9</t>
  </si>
  <si>
    <t>Punktematrix Weiblich Klasse 7 - 10</t>
  </si>
  <si>
    <t>Ausdauer w 7-9</t>
  </si>
  <si>
    <t>Sprint 75m w 7-9</t>
  </si>
  <si>
    <t>Sprung w 7-9</t>
  </si>
  <si>
    <t>Wurf w 7-9</t>
  </si>
  <si>
    <t>NOTE</t>
  </si>
  <si>
    <t>Formeln</t>
  </si>
  <si>
    <t>Code</t>
  </si>
  <si>
    <t>T_Min</t>
  </si>
  <si>
    <t>S_Min</t>
  </si>
  <si>
    <t>E_Min</t>
  </si>
  <si>
    <t>10w</t>
  </si>
  <si>
    <t>11w</t>
  </si>
  <si>
    <t>12w</t>
  </si>
  <si>
    <t>10m</t>
  </si>
  <si>
    <t>11m</t>
  </si>
  <si>
    <t>12m</t>
  </si>
  <si>
    <t>13w</t>
  </si>
  <si>
    <t>14w</t>
  </si>
  <si>
    <t>15w</t>
  </si>
  <si>
    <t>w</t>
  </si>
  <si>
    <t>(((800/(g3))-2,0232)/0,00647)</t>
  </si>
  <si>
    <t>(((50/(12,38+0,24))-3,648)/0,0066)</t>
  </si>
  <si>
    <t>((WURZEL(A15)-1,0935)/0,00208)</t>
  </si>
  <si>
    <t>((WURZEL(B15)-2,0232)/0,00874)</t>
  </si>
  <si>
    <t>16w</t>
  </si>
  <si>
    <t>m</t>
  </si>
  <si>
    <t>(((1000/G5)-2,158)/0,006)</t>
  </si>
  <si>
    <t>(((50/(12,38+0,24))-3,79)/0,0069)</t>
  </si>
  <si>
    <t>((WURZEL(A16)-1,15028)/0,00219)</t>
  </si>
  <si>
    <t>((WURZEL(B16)-2,8)/0,011)</t>
  </si>
  <si>
    <t>13m</t>
  </si>
  <si>
    <t>14m</t>
  </si>
  <si>
    <t>15m</t>
  </si>
  <si>
    <t>16m</t>
  </si>
  <si>
    <t>Geschl</t>
  </si>
  <si>
    <t>R5A</t>
  </si>
  <si>
    <t>Birkle</t>
  </si>
  <si>
    <t>Teresa</t>
  </si>
  <si>
    <t>Böttcher</t>
  </si>
  <si>
    <t>Lian</t>
  </si>
  <si>
    <t>M</t>
  </si>
  <si>
    <t>Eiche</t>
  </si>
  <si>
    <t>Lene</t>
  </si>
  <si>
    <t>Gajic</t>
  </si>
  <si>
    <t>Aleksa</t>
  </si>
  <si>
    <t>Hajdaraj</t>
  </si>
  <si>
    <t>Lorik</t>
  </si>
  <si>
    <t>Herrman</t>
  </si>
  <si>
    <t>Marlon</t>
  </si>
  <si>
    <t>Kaltenbach</t>
  </si>
  <si>
    <t>Lucia</t>
  </si>
  <si>
    <t>Kaltschmidt</t>
  </si>
  <si>
    <t>Nelly</t>
  </si>
  <si>
    <t>Keppel</t>
  </si>
  <si>
    <t>Amelia</t>
  </si>
  <si>
    <t>Kramer</t>
  </si>
  <si>
    <t>Mira</t>
  </si>
  <si>
    <t>Le Roux</t>
  </si>
  <si>
    <t>Joel</t>
  </si>
  <si>
    <t>Lickert</t>
  </si>
  <si>
    <t>Mia</t>
  </si>
  <si>
    <t>Magidi</t>
  </si>
  <si>
    <t>Mobina</t>
  </si>
  <si>
    <t>Matos Martins</t>
  </si>
  <si>
    <t>Beatriz</t>
  </si>
  <si>
    <t>Morina</t>
  </si>
  <si>
    <t>Lediona</t>
  </si>
  <si>
    <t>Pieler</t>
  </si>
  <si>
    <t>Max</t>
  </si>
  <si>
    <t>Rogg</t>
  </si>
  <si>
    <t>Nico</t>
  </si>
  <si>
    <t>Roso</t>
  </si>
  <si>
    <t>Dejan</t>
  </si>
  <si>
    <t>Schuler</t>
  </si>
  <si>
    <t>Adrian</t>
  </si>
  <si>
    <t>Seifried</t>
  </si>
  <si>
    <t>Oskar</t>
  </si>
  <si>
    <t>Shahini</t>
  </si>
  <si>
    <t>Dion</t>
  </si>
  <si>
    <t>Singh</t>
  </si>
  <si>
    <t>Louis</t>
  </si>
  <si>
    <t>Uhlmann</t>
  </si>
  <si>
    <t>Paul</t>
  </si>
  <si>
    <t>Waldvogel</t>
  </si>
  <si>
    <t>Finn</t>
  </si>
  <si>
    <t>Ziuzina</t>
  </si>
  <si>
    <t>Milana</t>
  </si>
  <si>
    <t>R5B</t>
  </si>
  <si>
    <t>Babanin</t>
  </si>
  <si>
    <t>Michelle</t>
  </si>
  <si>
    <t>Buchova</t>
  </si>
  <si>
    <t>Anna</t>
  </si>
  <si>
    <t>Eidinger</t>
  </si>
  <si>
    <t>Leif</t>
  </si>
  <si>
    <t>Fischer</t>
  </si>
  <si>
    <t>Stefanie</t>
  </si>
  <si>
    <t>Frisch</t>
  </si>
  <si>
    <t>Mattis</t>
  </si>
  <si>
    <t>Gross</t>
  </si>
  <si>
    <t>Lea</t>
  </si>
  <si>
    <t>Hodroj</t>
  </si>
  <si>
    <t>Rahiel</t>
  </si>
  <si>
    <t>Jammali</t>
  </si>
  <si>
    <t>Elias</t>
  </si>
  <si>
    <t>Jordan</t>
  </si>
  <si>
    <t>Lena</t>
  </si>
  <si>
    <t>Kleiser</t>
  </si>
  <si>
    <t>Alicia</t>
  </si>
  <si>
    <t>Lejosne</t>
  </si>
  <si>
    <t>Anastasiia</t>
  </si>
  <si>
    <t>Omodion</t>
  </si>
  <si>
    <t>Grace</t>
  </si>
  <si>
    <t>Postaci</t>
  </si>
  <si>
    <t>Tuana</t>
  </si>
  <si>
    <t>Saum</t>
  </si>
  <si>
    <t>Noela</t>
  </si>
  <si>
    <t>Schwär</t>
  </si>
  <si>
    <t>Sebastian</t>
  </si>
  <si>
    <t>Wider</t>
  </si>
  <si>
    <t>Anna-Maria</t>
  </si>
  <si>
    <t>Zabel</t>
  </si>
  <si>
    <t>Hendrik</t>
  </si>
  <si>
    <t>R5C</t>
  </si>
  <si>
    <t>Augustin</t>
  </si>
  <si>
    <t>Emely</t>
  </si>
  <si>
    <t>Baum</t>
  </si>
  <si>
    <t>Davina</t>
  </si>
  <si>
    <t>Benz</t>
  </si>
  <si>
    <t>Felix</t>
  </si>
  <si>
    <t>Niklas</t>
  </si>
  <si>
    <t>Böhm</t>
  </si>
  <si>
    <t>Denny</t>
  </si>
  <si>
    <t>Hämmerle</t>
  </si>
  <si>
    <t>Julian</t>
  </si>
  <si>
    <t>Jarusch</t>
  </si>
  <si>
    <t>Gabriel</t>
  </si>
  <si>
    <t>Elisa</t>
  </si>
  <si>
    <t>Kling</t>
  </si>
  <si>
    <t>Maxim</t>
  </si>
  <si>
    <t>Knöpfle</t>
  </si>
  <si>
    <t>David</t>
  </si>
  <si>
    <t>Löffler</t>
  </si>
  <si>
    <t>Marla</t>
  </si>
  <si>
    <t>Lungoiu</t>
  </si>
  <si>
    <t>Lukas</t>
  </si>
  <si>
    <t>Ochwat</t>
  </si>
  <si>
    <t>Marvin</t>
  </si>
  <si>
    <t>Ojebo</t>
  </si>
  <si>
    <t>Rebecca</t>
  </si>
  <si>
    <t>Petrovic</t>
  </si>
  <si>
    <t>Schmidt</t>
  </si>
  <si>
    <t>Anton</t>
  </si>
  <si>
    <t>Schwab</t>
  </si>
  <si>
    <t>Joshua</t>
  </si>
  <si>
    <t>Siedlarz</t>
  </si>
  <si>
    <t>Sami</t>
  </si>
  <si>
    <t>Silic</t>
  </si>
  <si>
    <t>Nia</t>
  </si>
  <si>
    <t>Skoda</t>
  </si>
  <si>
    <t>Luca</t>
  </si>
  <si>
    <t>Stenianskyi</t>
  </si>
  <si>
    <t>Maksym</t>
  </si>
  <si>
    <t>Tkalec</t>
  </si>
  <si>
    <t>Matea</t>
  </si>
  <si>
    <t>Vogelbacher</t>
  </si>
  <si>
    <t>Bruno</t>
  </si>
  <si>
    <t>Winterhalder</t>
  </si>
  <si>
    <t>Paula</t>
  </si>
  <si>
    <t>Zipfel</t>
  </si>
  <si>
    <t>Marleen</t>
  </si>
  <si>
    <t>R6A</t>
  </si>
  <si>
    <t>Alyhya</t>
  </si>
  <si>
    <t>Malake</t>
  </si>
  <si>
    <t>Basic</t>
  </si>
  <si>
    <t>Kerim</t>
  </si>
  <si>
    <t>Becker</t>
  </si>
  <si>
    <t>Eva-Marie</t>
  </si>
  <si>
    <t>Böcke</t>
  </si>
  <si>
    <t>Maximilian</t>
  </si>
  <si>
    <t>Chahine</t>
  </si>
  <si>
    <t>Mila</t>
  </si>
  <si>
    <t>Dörflinger</t>
  </si>
  <si>
    <t>Ace</t>
  </si>
  <si>
    <t>Dreher</t>
  </si>
  <si>
    <t>Hannah</t>
  </si>
  <si>
    <t>Dudnyk</t>
  </si>
  <si>
    <t>Pavlo</t>
  </si>
  <si>
    <t>Eberl</t>
  </si>
  <si>
    <t>Jamie</t>
  </si>
  <si>
    <t>Eckert</t>
  </si>
  <si>
    <t>Ramona</t>
  </si>
  <si>
    <t>Fanari</t>
  </si>
  <si>
    <t>Vlada</t>
  </si>
  <si>
    <t>Fechtig</t>
  </si>
  <si>
    <t>Glöde</t>
  </si>
  <si>
    <t>Leonie</t>
  </si>
  <si>
    <t>Greiner-Adam</t>
  </si>
  <si>
    <t>Hofmeier</t>
  </si>
  <si>
    <t>Janke</t>
  </si>
  <si>
    <t>Irina</t>
  </si>
  <si>
    <t>Kahlfeld</t>
  </si>
  <si>
    <t>Matteo</t>
  </si>
  <si>
    <t>Kakpe</t>
  </si>
  <si>
    <t>Aboubacar</t>
  </si>
  <si>
    <t>Kastrati</t>
  </si>
  <si>
    <t>Ketterer</t>
  </si>
  <si>
    <t>Timo</t>
  </si>
  <si>
    <t>Amelie</t>
  </si>
  <si>
    <t>Marcel</t>
  </si>
  <si>
    <t>Eric</t>
  </si>
  <si>
    <t>Koop</t>
  </si>
  <si>
    <t>Nicole</t>
  </si>
  <si>
    <t>Kura</t>
  </si>
  <si>
    <t>Liam</t>
  </si>
  <si>
    <t>Mainka</t>
  </si>
  <si>
    <t>Paulina</t>
  </si>
  <si>
    <t>Saggiomo</t>
  </si>
  <si>
    <t>Sofia</t>
  </si>
  <si>
    <t>Schneider</t>
  </si>
  <si>
    <t>Emilie</t>
  </si>
  <si>
    <t>Sejnalow</t>
  </si>
  <si>
    <t>Jasmina</t>
  </si>
  <si>
    <t>Sigwart</t>
  </si>
  <si>
    <t>Spitz</t>
  </si>
  <si>
    <t>Adrion</t>
  </si>
  <si>
    <t>R6B</t>
  </si>
  <si>
    <t>Adisa</t>
  </si>
  <si>
    <t>Ayomide</t>
  </si>
  <si>
    <t>Beese</t>
  </si>
  <si>
    <t>Johanna</t>
  </si>
  <si>
    <t>Dunn</t>
  </si>
  <si>
    <t>Oliver</t>
  </si>
  <si>
    <t>Elsner</t>
  </si>
  <si>
    <t>Amy</t>
  </si>
  <si>
    <t>Emde</t>
  </si>
  <si>
    <t>Milan</t>
  </si>
  <si>
    <t>Forster</t>
  </si>
  <si>
    <t>Christopher</t>
  </si>
  <si>
    <t>Ganz</t>
  </si>
  <si>
    <t>Hejri</t>
  </si>
  <si>
    <t>Asma</t>
  </si>
  <si>
    <t>Kaufhold</t>
  </si>
  <si>
    <t>Cataleya</t>
  </si>
  <si>
    <t>Marina</t>
  </si>
  <si>
    <t>Jakob</t>
  </si>
  <si>
    <t>Kraus</t>
  </si>
  <si>
    <t>Kulikov</t>
  </si>
  <si>
    <t>Kuttruff</t>
  </si>
  <si>
    <t>Sascha</t>
  </si>
  <si>
    <t>Jannis</t>
  </si>
  <si>
    <t>Maier</t>
  </si>
  <si>
    <t>Mayer</t>
  </si>
  <si>
    <t>Meireles</t>
  </si>
  <si>
    <t>Joana</t>
  </si>
  <si>
    <t>Muherina</t>
  </si>
  <si>
    <t>Melina</t>
  </si>
  <si>
    <t>Nikitin</t>
  </si>
  <si>
    <t>Nyirö</t>
  </si>
  <si>
    <t>Panna</t>
  </si>
  <si>
    <t>Rombach</t>
  </si>
  <si>
    <t>Ruiz-Huber</t>
  </si>
  <si>
    <t>Sarah</t>
  </si>
  <si>
    <t>Sevcenko</t>
  </si>
  <si>
    <t>Leoni</t>
  </si>
  <si>
    <t>Daria</t>
  </si>
  <si>
    <t>Spiegelhalter</t>
  </si>
  <si>
    <t>Lina</t>
  </si>
  <si>
    <t>Steiert</t>
  </si>
  <si>
    <t>Simon</t>
  </si>
  <si>
    <t>Stiebjahn</t>
  </si>
  <si>
    <t>Luis</t>
  </si>
  <si>
    <t>Wehrle</t>
  </si>
  <si>
    <t>Corinna</t>
  </si>
  <si>
    <t>Wursthorn</t>
  </si>
  <si>
    <t>Nora</t>
  </si>
  <si>
    <t>R6C</t>
  </si>
  <si>
    <t>Al Fahd</t>
  </si>
  <si>
    <t>Yasin</t>
  </si>
  <si>
    <t>Bekdezell</t>
  </si>
  <si>
    <t>Mubben</t>
  </si>
  <si>
    <t>Belmokaddem</t>
  </si>
  <si>
    <t>Dudas</t>
  </si>
  <si>
    <t>Leona</t>
  </si>
  <si>
    <t>Duri</t>
  </si>
  <si>
    <t>Linus</t>
  </si>
  <si>
    <t>Fedotova</t>
  </si>
  <si>
    <t>Viktoria</t>
  </si>
  <si>
    <t>Dominik</t>
  </si>
  <si>
    <t>Gut</t>
  </si>
  <si>
    <t>Levin</t>
  </si>
  <si>
    <t>Jonne</t>
  </si>
  <si>
    <t>Höftmann</t>
  </si>
  <si>
    <t>Jonas</t>
  </si>
  <si>
    <t>Luisa</t>
  </si>
  <si>
    <t>Lakmann</t>
  </si>
  <si>
    <t>Matt</t>
  </si>
  <si>
    <t>Müller</t>
  </si>
  <si>
    <t>Minela</t>
  </si>
  <si>
    <t>Nitz</t>
  </si>
  <si>
    <t>Tizia</t>
  </si>
  <si>
    <t>Osas</t>
  </si>
  <si>
    <t>Favour</t>
  </si>
  <si>
    <t>Peksen</t>
  </si>
  <si>
    <t>Yagmur</t>
  </si>
  <si>
    <t>Peters</t>
  </si>
  <si>
    <t>Shauna</t>
  </si>
  <si>
    <t>Pfaff</t>
  </si>
  <si>
    <t>Joschua</t>
  </si>
  <si>
    <t>Pidhorna</t>
  </si>
  <si>
    <t>Polina</t>
  </si>
  <si>
    <t>Reinauer</t>
  </si>
  <si>
    <t>Johan</t>
  </si>
  <si>
    <t>Rudigier</t>
  </si>
  <si>
    <t>Jackie</t>
  </si>
  <si>
    <t>Sabir</t>
  </si>
  <si>
    <t>Yasmine</t>
  </si>
  <si>
    <t>Schell</t>
  </si>
  <si>
    <t>Emilian</t>
  </si>
  <si>
    <t>Skrobo</t>
  </si>
  <si>
    <t>Jure</t>
  </si>
  <si>
    <t>Leo</t>
  </si>
  <si>
    <t>Voitenko</t>
  </si>
  <si>
    <t>Rynat</t>
  </si>
  <si>
    <t>Winterhalter</t>
  </si>
  <si>
    <t>Carina-Sofia</t>
  </si>
  <si>
    <t>Zähringer</t>
  </si>
  <si>
    <t>Leon</t>
  </si>
  <si>
    <t>R7A</t>
  </si>
  <si>
    <t>Banmiller</t>
  </si>
  <si>
    <t>Fehrenbach</t>
  </si>
  <si>
    <t>Daniel</t>
  </si>
  <si>
    <t>Frenzel</t>
  </si>
  <si>
    <t>Sunny</t>
  </si>
  <si>
    <t>Patrik</t>
  </si>
  <si>
    <t>Katava</t>
  </si>
  <si>
    <t>Luka</t>
  </si>
  <si>
    <t>Kirmair</t>
  </si>
  <si>
    <t>Lennox</t>
  </si>
  <si>
    <t>Vanessa</t>
  </si>
  <si>
    <t>Koba</t>
  </si>
  <si>
    <t>Mark</t>
  </si>
  <si>
    <t>Köhler</t>
  </si>
  <si>
    <t>Lars</t>
  </si>
  <si>
    <t>Moor</t>
  </si>
  <si>
    <t>Kristina</t>
  </si>
  <si>
    <t>Muji</t>
  </si>
  <si>
    <t>Besa</t>
  </si>
  <si>
    <t>Nikolov</t>
  </si>
  <si>
    <t>Vitomir</t>
  </si>
  <si>
    <t>Omar</t>
  </si>
  <si>
    <t>Sham</t>
  </si>
  <si>
    <t>Yannis</t>
  </si>
  <si>
    <t>Pröll</t>
  </si>
  <si>
    <t>Alina</t>
  </si>
  <si>
    <t>Rayan</t>
  </si>
  <si>
    <t>Schätzle</t>
  </si>
  <si>
    <t>Eliah</t>
  </si>
  <si>
    <t>Schwörer</t>
  </si>
  <si>
    <t>Tilo</t>
  </si>
  <si>
    <t>Trenkle</t>
  </si>
  <si>
    <t>Ben</t>
  </si>
  <si>
    <t>Zabolotnyi</t>
  </si>
  <si>
    <t>Kyrylo</t>
  </si>
  <si>
    <t>R7B</t>
  </si>
  <si>
    <t>Bailly</t>
  </si>
  <si>
    <t>Cedric</t>
  </si>
  <si>
    <t>Breuer</t>
  </si>
  <si>
    <t>Kiana</t>
  </si>
  <si>
    <t>Drogan</t>
  </si>
  <si>
    <t>Zoe</t>
  </si>
  <si>
    <t>Dura</t>
  </si>
  <si>
    <t>Lilian</t>
  </si>
  <si>
    <t>Fries-Beckmann</t>
  </si>
  <si>
    <t>Lu</t>
  </si>
  <si>
    <t>Emma</t>
  </si>
  <si>
    <t>Furtwängler</t>
  </si>
  <si>
    <t>Hättich</t>
  </si>
  <si>
    <t>Heine</t>
  </si>
  <si>
    <t>Linda</t>
  </si>
  <si>
    <t>Heitzmann</t>
  </si>
  <si>
    <t>Aylin</t>
  </si>
  <si>
    <t>Laura</t>
  </si>
  <si>
    <t>Lipphardt</t>
  </si>
  <si>
    <t>Peine</t>
  </si>
  <si>
    <t>Pisoi</t>
  </si>
  <si>
    <t>Andreri-Alexandru</t>
  </si>
  <si>
    <t>Ritter</t>
  </si>
  <si>
    <t>Emelie</t>
  </si>
  <si>
    <t>Rohrer</t>
  </si>
  <si>
    <t>Sina</t>
  </si>
  <si>
    <t>Julia</t>
  </si>
  <si>
    <t>Schwarz</t>
  </si>
  <si>
    <t>Anna Sofia</t>
  </si>
  <si>
    <t>Elina</t>
  </si>
  <si>
    <t>Stahl</t>
  </si>
  <si>
    <t>Uetz</t>
  </si>
  <si>
    <t>Volk</t>
  </si>
  <si>
    <t>Michael</t>
  </si>
  <si>
    <t>Walizadeh</t>
  </si>
  <si>
    <t>Parnia</t>
  </si>
  <si>
    <t>Wangler</t>
  </si>
  <si>
    <t>Selina</t>
  </si>
  <si>
    <t>R7C</t>
  </si>
  <si>
    <t>Bauer</t>
  </si>
  <si>
    <t>Beladjal</t>
  </si>
  <si>
    <t>Oussama</t>
  </si>
  <si>
    <t>Noah</t>
  </si>
  <si>
    <t>Götz</t>
  </si>
  <si>
    <t>Laurin</t>
  </si>
  <si>
    <t>Haas</t>
  </si>
  <si>
    <t>Hog</t>
  </si>
  <si>
    <t>Isele</t>
  </si>
  <si>
    <t>Magdalena</t>
  </si>
  <si>
    <t>Kilian</t>
  </si>
  <si>
    <t>Marx</t>
  </si>
  <si>
    <t>Radu</t>
  </si>
  <si>
    <t>Saurer</t>
  </si>
  <si>
    <t>Strübe</t>
  </si>
  <si>
    <t>Tarja</t>
  </si>
  <si>
    <t>Moritz</t>
  </si>
  <si>
    <t>Levinja</t>
  </si>
  <si>
    <t>R7D</t>
  </si>
  <si>
    <t>Ackermann</t>
  </si>
  <si>
    <t>Luke</t>
  </si>
  <si>
    <t>Hamza</t>
  </si>
  <si>
    <t>Babijanski</t>
  </si>
  <si>
    <t>Ena</t>
  </si>
  <si>
    <t>Berrehouma</t>
  </si>
  <si>
    <t>Amina</t>
  </si>
  <si>
    <t>Borodulin</t>
  </si>
  <si>
    <t>Iwan</t>
  </si>
  <si>
    <t>De Min</t>
  </si>
  <si>
    <t>Milo</t>
  </si>
  <si>
    <t>Deck</t>
  </si>
  <si>
    <t>Laurenz</t>
  </si>
  <si>
    <t>Del Mundo</t>
  </si>
  <si>
    <t>Nacet</t>
  </si>
  <si>
    <t>Jashanica</t>
  </si>
  <si>
    <t>Alea</t>
  </si>
  <si>
    <t>Jungmann</t>
  </si>
  <si>
    <t>Kienzler</t>
  </si>
  <si>
    <t>Kisser</t>
  </si>
  <si>
    <t>Kopfmann</t>
  </si>
  <si>
    <t>Laubis</t>
  </si>
  <si>
    <t>Rexhepi</t>
  </si>
  <si>
    <t>Rahim</t>
  </si>
  <si>
    <t>Shabani</t>
  </si>
  <si>
    <t>Elton</t>
  </si>
  <si>
    <t>Stemmler</t>
  </si>
  <si>
    <t>Dave</t>
  </si>
  <si>
    <t>Weiß</t>
  </si>
  <si>
    <t>R8A</t>
  </si>
  <si>
    <t>Andris</t>
  </si>
  <si>
    <t>Vinzent Lennart</t>
  </si>
  <si>
    <t>Buss</t>
  </si>
  <si>
    <t>Dachtler</t>
  </si>
  <si>
    <t>Tobias</t>
  </si>
  <si>
    <t>Diehm</t>
  </si>
  <si>
    <t>Lova</t>
  </si>
  <si>
    <t>Domenic</t>
  </si>
  <si>
    <t>Johanna Alina</t>
  </si>
  <si>
    <t>Ginsheimer</t>
  </si>
  <si>
    <t>Sofija</t>
  </si>
  <si>
    <t>Höll</t>
  </si>
  <si>
    <t>Lotta Luise</t>
  </si>
  <si>
    <t>Hoxha</t>
  </si>
  <si>
    <t>Jakupi</t>
  </si>
  <si>
    <t>Feliza</t>
  </si>
  <si>
    <t>Kaiser</t>
  </si>
  <si>
    <t>Justus</t>
  </si>
  <si>
    <t>Kelm</t>
  </si>
  <si>
    <t>Riana</t>
  </si>
  <si>
    <t>Klein</t>
  </si>
  <si>
    <t>Luna</t>
  </si>
  <si>
    <t>Kurenkova</t>
  </si>
  <si>
    <t>Vira</t>
  </si>
  <si>
    <t>Kim</t>
  </si>
  <si>
    <t>Litovchenko</t>
  </si>
  <si>
    <t>Matwej</t>
  </si>
  <si>
    <t>MartinovicÂ´</t>
  </si>
  <si>
    <t>Demjen</t>
  </si>
  <si>
    <t>Mügge</t>
  </si>
  <si>
    <t>Jasmin</t>
  </si>
  <si>
    <t>Raile</t>
  </si>
  <si>
    <t>Bogdan</t>
  </si>
  <si>
    <t>Scherer</t>
  </si>
  <si>
    <t>Hannes</t>
  </si>
  <si>
    <t>Josephin</t>
  </si>
  <si>
    <t>Stettner</t>
  </si>
  <si>
    <t>Stich</t>
  </si>
  <si>
    <t>Tamira</t>
  </si>
  <si>
    <t>R8B</t>
  </si>
  <si>
    <t>Bläsing</t>
  </si>
  <si>
    <t>Jan</t>
  </si>
  <si>
    <t>Dell</t>
  </si>
  <si>
    <t>Di Bello</t>
  </si>
  <si>
    <t>Gianluca</t>
  </si>
  <si>
    <t>Janosch</t>
  </si>
  <si>
    <t>Lenn</t>
  </si>
  <si>
    <t>Gabriele</t>
  </si>
  <si>
    <t>Ilaria</t>
  </si>
  <si>
    <t>Luca Manuel</t>
  </si>
  <si>
    <t>Haberland</t>
  </si>
  <si>
    <t>Alessia</t>
  </si>
  <si>
    <t>Herling</t>
  </si>
  <si>
    <t>Elia</t>
  </si>
  <si>
    <t>Martha</t>
  </si>
  <si>
    <t>Metzger</t>
  </si>
  <si>
    <t>Sienna</t>
  </si>
  <si>
    <t>Riedler</t>
  </si>
  <si>
    <t>Ivan Mateo</t>
  </si>
  <si>
    <t>Giulia</t>
  </si>
  <si>
    <t>Seißer</t>
  </si>
  <si>
    <t>Klara</t>
  </si>
  <si>
    <t>Straub</t>
  </si>
  <si>
    <t>Benjamin</t>
  </si>
  <si>
    <t>von Nordheim</t>
  </si>
  <si>
    <t>Sonik</t>
  </si>
  <si>
    <t>Waitkuwait</t>
  </si>
  <si>
    <t>Lilja</t>
  </si>
  <si>
    <t>Fenja</t>
  </si>
  <si>
    <t>Wickenburg</t>
  </si>
  <si>
    <t>Dana</t>
  </si>
  <si>
    <t>Willmann</t>
  </si>
  <si>
    <t>Lisann</t>
  </si>
  <si>
    <t>R8C</t>
  </si>
  <si>
    <t>Blume</t>
  </si>
  <si>
    <t>Amy Milena</t>
  </si>
  <si>
    <t>Frey</t>
  </si>
  <si>
    <t>Funk</t>
  </si>
  <si>
    <t>Sebastian Alexander</t>
  </si>
  <si>
    <t>Sophie</t>
  </si>
  <si>
    <t>Kovalenko</t>
  </si>
  <si>
    <t>Konstantin</t>
  </si>
  <si>
    <t>Kubik</t>
  </si>
  <si>
    <t>Thomas</t>
  </si>
  <si>
    <t>Medina</t>
  </si>
  <si>
    <t>Palmieri</t>
  </si>
  <si>
    <t>Giuseppe Andrea</t>
  </si>
  <si>
    <t>Schäfer</t>
  </si>
  <si>
    <t>Saya</t>
  </si>
  <si>
    <t>Johann Michael</t>
  </si>
  <si>
    <t>Luca Steve</t>
  </si>
  <si>
    <t>Staiger</t>
  </si>
  <si>
    <t>Quentin</t>
  </si>
  <si>
    <t>Zoey</t>
  </si>
  <si>
    <t>Tritschler</t>
  </si>
  <si>
    <t>Anni</t>
  </si>
  <si>
    <t>Wohllaib</t>
  </si>
  <si>
    <t>Anessa</t>
  </si>
  <si>
    <t>R8D</t>
  </si>
  <si>
    <t>Antonovych</t>
  </si>
  <si>
    <t>Yeva</t>
  </si>
  <si>
    <t>Briber</t>
  </si>
  <si>
    <t>Donia</t>
  </si>
  <si>
    <t>Dalievskyi</t>
  </si>
  <si>
    <t>Makar</t>
  </si>
  <si>
    <t>Drescher</t>
  </si>
  <si>
    <t>Briella</t>
  </si>
  <si>
    <t>Ganter</t>
  </si>
  <si>
    <t>Nadine</t>
  </si>
  <si>
    <t>Gherghel</t>
  </si>
  <si>
    <t>Sebastian-Florian</t>
  </si>
  <si>
    <t>Giacomazzo</t>
  </si>
  <si>
    <t>Immanuel</t>
  </si>
  <si>
    <t>Gottwald</t>
  </si>
  <si>
    <t>Robert</t>
  </si>
  <si>
    <t>Hoch</t>
  </si>
  <si>
    <t>Karimi</t>
  </si>
  <si>
    <t>Lida</t>
  </si>
  <si>
    <t>Nikita</t>
  </si>
  <si>
    <t>Colin Alexander</t>
  </si>
  <si>
    <t>Kranendonk</t>
  </si>
  <si>
    <t>Lammel</t>
  </si>
  <si>
    <t>Fabian</t>
  </si>
  <si>
    <t>Molnar</t>
  </si>
  <si>
    <t>Bank</t>
  </si>
  <si>
    <t>Miko</t>
  </si>
  <si>
    <t>Mykytiuk</t>
  </si>
  <si>
    <t>Vasyl</t>
  </si>
  <si>
    <t>Ismail</t>
  </si>
  <si>
    <t>Röhrig</t>
  </si>
  <si>
    <t>Lilly</t>
  </si>
  <si>
    <t>Doaa</t>
  </si>
  <si>
    <t>Elena-Sophie</t>
  </si>
  <si>
    <t>Lennard</t>
  </si>
  <si>
    <t>Nika</t>
  </si>
  <si>
    <t>Schlegel</t>
  </si>
  <si>
    <t>Jana</t>
  </si>
  <si>
    <t>Angelika</t>
  </si>
  <si>
    <t>R9A</t>
  </si>
  <si>
    <t>Ayyoubi</t>
  </si>
  <si>
    <t>Elham</t>
  </si>
  <si>
    <t>Bilokur</t>
  </si>
  <si>
    <t>Braun</t>
  </si>
  <si>
    <t>Marie-Christin</t>
  </si>
  <si>
    <t>Dold</t>
  </si>
  <si>
    <t>Duttlinger</t>
  </si>
  <si>
    <t>Connor</t>
  </si>
  <si>
    <t>El Kaati Srhiri</t>
  </si>
  <si>
    <t>Anas</t>
  </si>
  <si>
    <t>Faulstich</t>
  </si>
  <si>
    <t>Jayden</t>
  </si>
  <si>
    <t>Salome</t>
  </si>
  <si>
    <t>Grieshaber</t>
  </si>
  <si>
    <t>Anja</t>
  </si>
  <si>
    <t>Timon</t>
  </si>
  <si>
    <t>Toba</t>
  </si>
  <si>
    <t>Hermine Anni</t>
  </si>
  <si>
    <t>Kurz</t>
  </si>
  <si>
    <t>Charlotta</t>
  </si>
  <si>
    <t>Laraki</t>
  </si>
  <si>
    <t>Ott</t>
  </si>
  <si>
    <t>Saier</t>
  </si>
  <si>
    <t>Schönfeld</t>
  </si>
  <si>
    <t>Maleen</t>
  </si>
  <si>
    <t>Theresa</t>
  </si>
  <si>
    <t>Strittmatter</t>
  </si>
  <si>
    <t>Eva</t>
  </si>
  <si>
    <t>Trumpold</t>
  </si>
  <si>
    <t>Matilda</t>
  </si>
  <si>
    <t>Walter</t>
  </si>
  <si>
    <t>Zavara</t>
  </si>
  <si>
    <t>Liana-Maria</t>
  </si>
  <si>
    <t>R9B</t>
  </si>
  <si>
    <t>Anusic</t>
  </si>
  <si>
    <t>Gabriella</t>
  </si>
  <si>
    <t>Balint</t>
  </si>
  <si>
    <t>Boglarka</t>
  </si>
  <si>
    <t>Dautbegovic</t>
  </si>
  <si>
    <t>Haris</t>
  </si>
  <si>
    <t>De Lima Wettlin</t>
  </si>
  <si>
    <t>de Sousa</t>
  </si>
  <si>
    <t>Valerie</t>
  </si>
  <si>
    <t>Fabig</t>
  </si>
  <si>
    <t>Tristan</t>
  </si>
  <si>
    <t>Klumpp</t>
  </si>
  <si>
    <t>Kovalov</t>
  </si>
  <si>
    <t>Matvey</t>
  </si>
  <si>
    <t>Kratzner</t>
  </si>
  <si>
    <t>Arvid</t>
  </si>
  <si>
    <t>Krüger</t>
  </si>
  <si>
    <t>Nele</t>
  </si>
  <si>
    <t>Monja</t>
  </si>
  <si>
    <t>Rodrigues Borges</t>
  </si>
  <si>
    <t>Pedro</t>
  </si>
  <si>
    <t>Schanz</t>
  </si>
  <si>
    <t>Aris</t>
  </si>
  <si>
    <t>Finja</t>
  </si>
  <si>
    <t>Shabash</t>
  </si>
  <si>
    <t>Mikhael</t>
  </si>
  <si>
    <t>Simic</t>
  </si>
  <si>
    <t>Ivana</t>
  </si>
  <si>
    <t>Von Oppen</t>
  </si>
  <si>
    <t>Wissler</t>
  </si>
  <si>
    <t>Nils</t>
  </si>
  <si>
    <t>Wolf</t>
  </si>
  <si>
    <t>R9C</t>
  </si>
  <si>
    <t>Almajaresh</t>
  </si>
  <si>
    <t>Mohammad</t>
  </si>
  <si>
    <t>Brugger</t>
  </si>
  <si>
    <t>Marie</t>
  </si>
  <si>
    <t>Fürderer</t>
  </si>
  <si>
    <t>Maya</t>
  </si>
  <si>
    <t>Gashi</t>
  </si>
  <si>
    <t>Edi</t>
  </si>
  <si>
    <t>Gök</t>
  </si>
  <si>
    <t>Kerem</t>
  </si>
  <si>
    <t>Marius Robert</t>
  </si>
  <si>
    <t>Ariana</t>
  </si>
  <si>
    <t>Kalinger</t>
  </si>
  <si>
    <t>Davis</t>
  </si>
  <si>
    <t>Lorenz</t>
  </si>
  <si>
    <t>Theo</t>
  </si>
  <si>
    <t>Almedina</t>
  </si>
  <si>
    <t>Relota</t>
  </si>
  <si>
    <t>Ivan</t>
  </si>
  <si>
    <t>Scheer</t>
  </si>
  <si>
    <t>Schropp</t>
  </si>
  <si>
    <t>Isabell</t>
  </si>
  <si>
    <t>Vehbi</t>
  </si>
  <si>
    <t>Socha</t>
  </si>
  <si>
    <t>Saskia</t>
  </si>
  <si>
    <t>Takacs</t>
  </si>
  <si>
    <t>Monika</t>
  </si>
  <si>
    <t>Toprakyigit</t>
  </si>
  <si>
    <t>Ayla-Eda</t>
  </si>
  <si>
    <t>Milena</t>
  </si>
  <si>
    <t>Ummenhofer</t>
  </si>
  <si>
    <t>Silas</t>
  </si>
  <si>
    <t>Wetzel</t>
  </si>
  <si>
    <t>Zulfic</t>
  </si>
  <si>
    <t>Emir</t>
  </si>
  <si>
    <t>R9D</t>
  </si>
  <si>
    <t>Sophia</t>
  </si>
  <si>
    <t>Denaro</t>
  </si>
  <si>
    <t>Francesco</t>
  </si>
  <si>
    <t>Dujakovic</t>
  </si>
  <si>
    <t>Faller</t>
  </si>
  <si>
    <t>Günther</t>
  </si>
  <si>
    <t>Heizmann</t>
  </si>
  <si>
    <t>Lilli</t>
  </si>
  <si>
    <t>Höfler</t>
  </si>
  <si>
    <t>Tabea</t>
  </si>
  <si>
    <t>Jäckle</t>
  </si>
  <si>
    <t>Fabienne</t>
  </si>
  <si>
    <t>Neudecker</t>
  </si>
  <si>
    <t>Nitzsche</t>
  </si>
  <si>
    <t>Veit</t>
  </si>
  <si>
    <t>Nobs</t>
  </si>
  <si>
    <t>Raphael</t>
  </si>
  <si>
    <t>Meike</t>
  </si>
  <si>
    <t>Rudiger</t>
  </si>
  <si>
    <t>Ole</t>
  </si>
  <si>
    <t>Ruf</t>
  </si>
  <si>
    <t>Schall</t>
  </si>
  <si>
    <t>Dennis</t>
  </si>
  <si>
    <t>Sick</t>
  </si>
  <si>
    <t>Katy</t>
  </si>
  <si>
    <t>Dustin</t>
  </si>
  <si>
    <t>Vasylenko</t>
  </si>
  <si>
    <t>Anastasia</t>
  </si>
  <si>
    <t>Eleni</t>
  </si>
  <si>
    <t>Zengler</t>
  </si>
  <si>
    <t>Teilnehmer</t>
  </si>
  <si>
    <t>Ehrenurkunden</t>
  </si>
  <si>
    <t>Siegerurkunden</t>
  </si>
  <si>
    <t>Teilnehmerurkunden</t>
  </si>
  <si>
    <t>Durchschnittspunkte</t>
  </si>
  <si>
    <t>Visualisierung</t>
  </si>
  <si>
    <t>Urkundenart</t>
  </si>
  <si>
    <t>Anzahl</t>
  </si>
  <si>
    <t>Teilnahme in %</t>
  </si>
  <si>
    <t>Ohne Urkunde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</si>
</sst>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.m"/>
  </numFmts>
  <fonts count="12">
    <font>
      <sz val="10.0"/>
      <color rgb="FF000000"/>
      <name val="Calibri"/>
      <scheme val="minor"/>
    </font>
    <font>
      <b/>
      <sz val="11.0"/>
      <color rgb="FFFFFFFF"/>
      <name val="Montserrat"/>
    </font>
    <font>
      <sz val="12.0"/>
      <color theme="1"/>
      <name val="Arial"/>
    </font>
    <font>
      <sz val="10.0"/>
      <color rgb="FF181C1F"/>
      <name val="Roboto"/>
    </font>
    <font>
      <sz val="10.0"/>
      <color theme="1"/>
      <name val="Arial"/>
    </font>
    <font>
      <sz val="10.0"/>
      <color theme="1"/>
      <name val="Calibri"/>
    </font>
    <font>
      <color theme="1"/>
      <name val="Calibri"/>
      <scheme val="minor"/>
    </font>
    <font>
      <sz val="22.0"/>
      <color theme="1"/>
      <name val="Arial"/>
    </font>
    <font/>
    <font>
      <b/>
      <sz val="10.0"/>
      <color theme="1"/>
      <name val="Arial"/>
    </font>
    <font>
      <sz val="10.0"/>
      <color rgb="FF000000"/>
      <name val="Calibri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A5F8F"/>
        <bgColor rgb="FF3A5F8F"/>
      </patternFill>
    </fill>
    <fill>
      <patternFill patternType="solid">
        <fgColor rgb="FFECECF4"/>
        <bgColor rgb="FFECECF4"/>
      </patternFill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DDD9C3"/>
        <bgColor rgb="FFDDD9C3"/>
      </patternFill>
    </fill>
    <fill>
      <patternFill patternType="solid">
        <fgColor rgb="FFDBE5F1"/>
        <bgColor rgb="FFDBE5F1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left/>
      <right style="thin">
        <color rgb="FF95B3D7"/>
      </right>
      <top style="thin">
        <color rgb="FF95B3D7"/>
      </top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1" xfId="0" applyAlignment="1" applyBorder="1" applyFont="1" applyNumberFormat="1">
      <alignment horizontal="left" vertical="top"/>
    </xf>
    <xf borderId="1" fillId="2" fontId="1" numFmtId="0" xfId="0" applyAlignment="1" applyBorder="1" applyFont="1">
      <alignment horizontal="center" vertical="top"/>
    </xf>
    <xf borderId="1" fillId="2" fontId="1" numFmtId="2" xfId="0" applyAlignment="1" applyBorder="1" applyFont="1" applyNumberFormat="1">
      <alignment horizontal="center" vertical="top"/>
    </xf>
    <xf borderId="1" fillId="2" fontId="1" numFmtId="0" xfId="0" applyAlignment="1" applyBorder="1" applyFont="1">
      <alignment vertical="top"/>
    </xf>
    <xf borderId="0" fillId="0" fontId="2" numFmtId="0" xfId="0" applyAlignment="1" applyFont="1">
      <alignment vertical="top"/>
    </xf>
    <xf borderId="1" fillId="3" fontId="3" numFmtId="0" xfId="0" applyAlignment="1" applyBorder="1" applyFill="1" applyFont="1">
      <alignment horizontal="left"/>
    </xf>
    <xf borderId="1" fillId="3" fontId="3" numFmtId="2" xfId="0" applyAlignment="1" applyBorder="1" applyFont="1" applyNumberFormat="1">
      <alignment horizontal="left"/>
    </xf>
    <xf borderId="1" fillId="3" fontId="3" numFmtId="1" xfId="0" applyAlignment="1" applyBorder="1" applyFont="1" applyNumberFormat="1">
      <alignment horizontal="center"/>
    </xf>
    <xf borderId="1" fillId="3" fontId="3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1" fillId="3" fontId="3" numFmtId="0" xfId="0" applyBorder="1" applyFont="1"/>
    <xf borderId="0" fillId="3" fontId="3" numFmtId="0" xfId="0" applyFont="1"/>
    <xf borderId="1" fillId="4" fontId="3" numFmtId="0" xfId="0" applyAlignment="1" applyBorder="1" applyFill="1" applyFont="1">
      <alignment horizontal="left"/>
    </xf>
    <xf borderId="1" fillId="4" fontId="3" numFmtId="2" xfId="0" applyAlignment="1" applyBorder="1" applyFont="1" applyNumberFormat="1">
      <alignment horizontal="left"/>
    </xf>
    <xf borderId="1" fillId="4" fontId="3" numFmtId="1" xfId="0" applyAlignment="1" applyBorder="1" applyFont="1" applyNumberFormat="1">
      <alignment horizontal="center"/>
    </xf>
    <xf borderId="1" fillId="4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1" fillId="4" fontId="3" numFmtId="0" xfId="0" applyBorder="1" applyFont="1"/>
    <xf borderId="0" fillId="4" fontId="3" numFmtId="0" xfId="0" applyFont="1"/>
    <xf borderId="0" fillId="0" fontId="4" numFmtId="0" xfId="0" applyFont="1"/>
    <xf borderId="0" fillId="0" fontId="5" numFmtId="0" xfId="0" applyFont="1"/>
    <xf borderId="1" fillId="4" fontId="3" numFmtId="20" xfId="0" applyAlignment="1" applyBorder="1" applyFont="1" applyNumberFormat="1">
      <alignment horizontal="center"/>
    </xf>
    <xf borderId="1" fillId="4" fontId="3" numFmtId="20" xfId="0" applyAlignment="1" applyBorder="1" applyFont="1" applyNumberFormat="1">
      <alignment horizontal="center" readingOrder="0"/>
    </xf>
    <xf borderId="1" fillId="3" fontId="3" numFmtId="20" xfId="0" applyAlignment="1" applyBorder="1" applyFont="1" applyNumberFormat="1">
      <alignment horizontal="center"/>
    </xf>
    <xf borderId="1" fillId="3" fontId="3" numFmtId="20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left" readingOrder="0"/>
    </xf>
    <xf borderId="1" fillId="3" fontId="3" numFmtId="2" xfId="0" applyAlignment="1" applyBorder="1" applyFont="1" applyNumberFormat="1">
      <alignment horizontal="center" readingOrder="0"/>
    </xf>
    <xf borderId="0" fillId="0" fontId="4" numFmtId="2" xfId="0" applyFont="1" applyNumberFormat="1"/>
    <xf borderId="1" fillId="4" fontId="3" numFmtId="165" xfId="0" applyAlignment="1" applyBorder="1" applyFont="1" applyNumberFormat="1">
      <alignment horizontal="center" readingOrder="0"/>
    </xf>
    <xf borderId="0" fillId="4" fontId="6" numFmtId="0" xfId="0" applyAlignment="1" applyFont="1">
      <alignment readingOrder="0"/>
    </xf>
    <xf borderId="1" fillId="3" fontId="3" numFmtId="1" xfId="0" applyAlignment="1" applyBorder="1" applyFont="1" applyNumberFormat="1">
      <alignment horizontal="left"/>
    </xf>
    <xf borderId="1" fillId="4" fontId="3" numFmtId="1" xfId="0" applyAlignment="1" applyBorder="1" applyFont="1" applyNumberFormat="1">
      <alignment horizontal="left"/>
    </xf>
    <xf borderId="2" fillId="5" fontId="7" numFmtId="0" xfId="0" applyAlignment="1" applyBorder="1" applyFill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5" fillId="6" fontId="9" numFmtId="0" xfId="0" applyAlignment="1" applyBorder="1" applyFill="1" applyFont="1">
      <alignment horizontal="center" vertical="center"/>
    </xf>
    <xf borderId="6" fillId="0" fontId="8" numFmtId="0" xfId="0" applyBorder="1" applyFont="1"/>
    <xf borderId="0" fillId="0" fontId="4" numFmtId="0" xfId="0" applyAlignment="1" applyFont="1">
      <alignment horizontal="center"/>
    </xf>
    <xf borderId="0" fillId="0" fontId="4" numFmtId="1" xfId="0" applyAlignment="1" applyFont="1" applyNumberFormat="1">
      <alignment horizontal="center"/>
    </xf>
    <xf borderId="5" fillId="6" fontId="9" numFmtId="1" xfId="0" applyAlignment="1" applyBorder="1" applyFont="1" applyNumberFormat="1">
      <alignment horizontal="center" vertical="center"/>
    </xf>
    <xf borderId="1" fillId="6" fontId="4" numFmtId="0" xfId="0" applyBorder="1" applyFont="1"/>
    <xf borderId="1" fillId="6" fontId="4" numFmtId="20" xfId="0" applyBorder="1" applyFont="1" applyNumberFormat="1"/>
    <xf borderId="1" fillId="6" fontId="4" numFmtId="2" xfId="0" applyAlignment="1" applyBorder="1" applyFont="1" applyNumberFormat="1">
      <alignment readingOrder="0"/>
    </xf>
    <xf borderId="1" fillId="6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4" numFmtId="1" xfId="0" applyBorder="1" applyFont="1" applyNumberFormat="1"/>
    <xf borderId="1" fillId="0" fontId="4" numFmtId="0" xfId="0" applyAlignment="1" applyBorder="1" applyFont="1">
      <alignment horizontal="left" vertical="top"/>
    </xf>
    <xf borderId="1" fillId="0" fontId="4" numFmtId="1" xfId="0" applyAlignment="1" applyBorder="1" applyFont="1" applyNumberFormat="1">
      <alignment horizontal="left" vertical="top"/>
    </xf>
    <xf borderId="1" fillId="0" fontId="4" numFmtId="0" xfId="0" applyAlignment="1" applyBorder="1" applyFont="1">
      <alignment horizontal="center" vertical="top"/>
    </xf>
    <xf borderId="0" fillId="0" fontId="10" numFmtId="0" xfId="0" applyFont="1"/>
    <xf borderId="1" fillId="0" fontId="4" numFmtId="0" xfId="0" applyAlignment="1" applyBorder="1" applyFont="1">
      <alignment horizontal="left"/>
    </xf>
    <xf borderId="7" fillId="0" fontId="4" numFmtId="0" xfId="0" applyAlignment="1" applyBorder="1" applyFont="1">
      <alignment horizontal="left"/>
    </xf>
    <xf borderId="7" fillId="0" fontId="4" numFmtId="1" xfId="0" applyAlignment="1" applyBorder="1" applyFont="1" applyNumberFormat="1">
      <alignment horizontal="left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" fillId="7" fontId="4" numFmtId="0" xfId="0" applyBorder="1" applyFill="1" applyFont="1"/>
    <xf borderId="11" fillId="7" fontId="4" numFmtId="0" xfId="0" applyBorder="1" applyFont="1"/>
    <xf borderId="12" fillId="7" fontId="4" numFmtId="0" xfId="0" applyBorder="1" applyFont="1"/>
    <xf borderId="13" fillId="7" fontId="4" numFmtId="0" xfId="0" applyBorder="1" applyFont="1"/>
    <xf borderId="0" fillId="0" fontId="11" numFmtId="0" xfId="0" applyAlignment="1" applyFont="1">
      <alignment readingOrder="0"/>
    </xf>
    <xf borderId="0" fillId="0" fontId="11" numFmtId="0" xfId="0" applyFont="1"/>
    <xf borderId="0" fillId="0" fontId="6" numFmtId="0" xfId="0" applyFont="1"/>
    <xf borderId="0" fillId="0" fontId="6" numFmtId="10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D600"/>
          <bgColor rgb="FFFFD600"/>
        </patternFill>
      </fill>
      <border/>
    </dxf>
    <dxf>
      <font/>
      <fill>
        <patternFill patternType="solid">
          <fgColor rgb="FFC0C0C0"/>
          <bgColor rgb="FFC0C0C0"/>
        </patternFill>
      </fill>
      <border/>
    </dxf>
    <dxf>
      <font/>
      <fill>
        <patternFill patternType="solid">
          <fgColor rgb="FFCD7E31"/>
          <bgColor rgb="FFCD7E31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C6D9F0"/>
          <bgColor rgb="FFC6D9F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Urkundenverteilung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Auswertung!$J$22:$J$25</c:f>
            </c:strRef>
          </c:cat>
          <c:val>
            <c:numRef>
              <c:f>Auswertung!$K$22:$K$25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1</xdr:row>
      <xdr:rowOff>66675</xdr:rowOff>
    </xdr:from>
    <xdr:ext cx="4762500" cy="2857500"/>
    <xdr:graphicFrame>
      <xdr:nvGraphicFramePr>
        <xdr:cNvPr id="1" name="Chart 1" title="Urkundenverteilun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12.0"/>
    <col customWidth="1" min="3" max="3" width="12.86"/>
    <col customWidth="1" min="4" max="4" width="8.29"/>
    <col customWidth="1" min="5" max="5" width="9.14"/>
    <col customWidth="1" hidden="1" min="6" max="6" width="5.86"/>
    <col customWidth="1" min="7" max="7" width="8.57"/>
    <col customWidth="1" min="8" max="8" width="12.43"/>
    <col customWidth="1" min="9" max="9" width="4.71"/>
    <col customWidth="1" min="10" max="10" width="13.86"/>
    <col customWidth="1" min="11" max="11" width="5.14"/>
    <col customWidth="1" min="12" max="12" width="12.71"/>
    <col customWidth="1" min="13" max="13" width="5.29"/>
    <col customWidth="1" min="14" max="14" width="12.0"/>
    <col customWidth="1" min="15" max="15" width="4.43"/>
    <col customWidth="1" hidden="1" min="16" max="17" width="15.86"/>
    <col customWidth="1" min="18" max="18" width="12.43"/>
    <col customWidth="1" min="19" max="19" width="19.86"/>
    <col customWidth="1" min="20" max="20" width="18.43"/>
    <col customWidth="1" min="21" max="27" width="10.71"/>
  </cols>
  <sheetData>
    <row r="1" ht="33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1" t="s">
        <v>18</v>
      </c>
      <c r="T1" s="3" t="s">
        <v>19</v>
      </c>
      <c r="U1" s="6"/>
      <c r="V1" s="6"/>
      <c r="W1" s="6"/>
      <c r="X1" s="6"/>
      <c r="Y1" s="6"/>
      <c r="Z1" s="6"/>
      <c r="AA1" s="6"/>
    </row>
    <row r="2" ht="19.5" hidden="1" customHeight="1">
      <c r="A2" s="7" t="str">
        <f>IF(ASV_Daten!A21="","",ASV_Daten!A21)</f>
        <v>R5A</v>
      </c>
      <c r="B2" s="7" t="str">
        <f>IF(ASV_Daten!B21="","",ASV_Daten!B21)</f>
        <v>Seifried</v>
      </c>
      <c r="C2" s="7" t="str">
        <f>IF(ASV_Daten!C21="","",ASV_Daten!C21)</f>
        <v>Oskar</v>
      </c>
      <c r="D2" s="7">
        <f>IF(ASV_Daten!D21="","",ASV_Daten!D21)</f>
        <v>2015</v>
      </c>
      <c r="E2" s="7" t="str">
        <f>IF(ASV_Daten!E20="","",ASV_Daten!E20)</f>
        <v>M</v>
      </c>
      <c r="F2" s="8" t="str">
        <f t="shared" ref="F2:F474" si="1">MID(A2,2,1)</f>
        <v>5</v>
      </c>
      <c r="G2" s="9">
        <f t="shared" ref="G2:G474" si="2">2026-D2</f>
        <v>11</v>
      </c>
      <c r="H2" s="10">
        <v>0.1840277777777778</v>
      </c>
      <c r="I2" s="11">
        <f t="shared" ref="I2:I474" si="3">IF(H2="", 0, IFERROR(XLOOKUP(H2, INDIRECT("'"&amp;P2&amp;"'!A4:A"), INDIRECT("'"&amp;P2&amp;"'!B4:B"), 0, 1), 0))</f>
        <v>266</v>
      </c>
      <c r="J2" s="11"/>
      <c r="K2" s="11">
        <f t="shared" ref="K2:K237" si="4">IF(J2="", 0, IFERROR(XLOOKUP(J2, INDIRECT("'"&amp;P2&amp;"'!E4:E"), INDIRECT("'"&amp;P2&amp;"'!F4:F"), 0, 1), 0))</f>
        <v>0</v>
      </c>
      <c r="L2" s="12">
        <v>4.93</v>
      </c>
      <c r="M2" s="11">
        <f t="shared" ref="M2:M474" si="5">IF(L2="", 0, IFERROR(XLOOKUP(L2, INDIRECT("'"&amp;P2&amp;"'!I4:I"), INDIRECT("'"&amp;P2&amp;"'!J4:J"), 0, -1), 0))</f>
        <v>488</v>
      </c>
      <c r="N2" s="12">
        <v>34.5</v>
      </c>
      <c r="O2" s="11">
        <f t="shared" ref="O2:O474" si="6">IF(N2="", 0, IFERROR(XLOOKUP(N2, INDIRECT("'"&amp;P2&amp;"'!M4:M"), INDIRECT("'"&amp;P2&amp;"'!N4:N"), 0, -1), 0))</f>
        <v>279</v>
      </c>
      <c r="P2" s="11" t="str">
        <f t="shared" ref="P2:P474" si="7">IF(OR(F2="6",F2="5"),IF(E2="W","Punkte W 5-6","Punkte M 5-6"),IF(E2="W","Punkte W 7-9","Punkte M 7-9"))</f>
        <v>Punkte M 5-6</v>
      </c>
      <c r="Q2" s="11" t="str">
        <f t="shared" ref="Q2:Q474" si="8">IF(E2="W","Noten-Matrix-Mädchen","Noten-Matrix-Jungen")</f>
        <v>Noten-Matrix-Jungen</v>
      </c>
      <c r="R2" s="13">
        <f t="shared" ref="R2:R474" si="9">SUM(I2, K2, M2, O2) - MIN(I2, K2, M2, O2)</f>
        <v>1033</v>
      </c>
      <c r="S2" s="11" t="str">
        <f>IF(R2=0, "Keine Teilnahme", IFERROR(IF(R2&gt;=VLOOKUP(G2&amp;LOWER(E2), Formeln!$H$2:$K$30, 4, FALSE), "Ehrenurkunde", IF(R2&gt;=VLOOKUP(G2&amp;LOWER(E2), Formeln!$H$2:$K$30, 3, FALSE), "Siegerurkunde", "Teilnehmerurkunde")), "Keine Urkunde"))</f>
        <v>Ehrenurkunde</v>
      </c>
      <c r="T2" s="14">
        <f t="shared" ref="T2:T474" si="10">IF(R2=0, "Keine Teilnahme", IFERROR(XLOOKUP(R2, INDEX(INDIRECT("'"&amp;Q2&amp;"'!A:J"), 0, MATCH(G2, INDIRECT("'"&amp;Q2&amp;"'!A1:J1"), 0)), INDIRECT("'"&amp;Q2&amp;"'!A:A"), "Keine Note", -1), "Keine Note"))</f>
        <v>1</v>
      </c>
    </row>
    <row r="3" ht="19.5" hidden="1" customHeight="1">
      <c r="A3" s="15" t="str">
        <f>IF(ASV_Daten!A5="","",ASV_Daten!A5)</f>
        <v>R5A</v>
      </c>
      <c r="B3" s="15" t="str">
        <f>IF(ASV_Daten!B5="","",ASV_Daten!B5)</f>
        <v>Gajic</v>
      </c>
      <c r="C3" s="15" t="str">
        <f>IF(ASV_Daten!C5="","",ASV_Daten!C5)</f>
        <v>Aleksa</v>
      </c>
      <c r="D3" s="15">
        <f>IF(ASV_Daten!D5="","",ASV_Daten!D5)</f>
        <v>2014</v>
      </c>
      <c r="E3" s="15" t="str">
        <f>IF(ASV_Daten!E5="","",ASV_Daten!E5)</f>
        <v>M</v>
      </c>
      <c r="F3" s="16" t="str">
        <f t="shared" si="1"/>
        <v>5</v>
      </c>
      <c r="G3" s="17">
        <f t="shared" si="2"/>
        <v>12</v>
      </c>
      <c r="H3" s="18">
        <v>0.23333333333333334</v>
      </c>
      <c r="I3" s="19">
        <f t="shared" si="3"/>
        <v>136</v>
      </c>
      <c r="J3" s="20"/>
      <c r="K3" s="19">
        <f t="shared" si="4"/>
        <v>0</v>
      </c>
      <c r="L3" s="20">
        <v>3.21</v>
      </c>
      <c r="M3" s="19">
        <f t="shared" si="5"/>
        <v>292</v>
      </c>
      <c r="N3" s="20">
        <v>22.5</v>
      </c>
      <c r="O3" s="19">
        <f t="shared" si="6"/>
        <v>176</v>
      </c>
      <c r="P3" s="19" t="str">
        <f t="shared" si="7"/>
        <v>Punkte M 5-6</v>
      </c>
      <c r="Q3" s="19" t="str">
        <f t="shared" si="8"/>
        <v>Noten-Matrix-Jungen</v>
      </c>
      <c r="R3" s="21">
        <f t="shared" si="9"/>
        <v>604</v>
      </c>
      <c r="S3" s="19" t="str">
        <f>IF(R3=0, "Keine Teilnahme", IFERROR(IF(R3&gt;=VLOOKUP(G3&amp;LOWER(E3), Formeln!$H$2:$K$30, 4, FALSE), "Ehrenurkunde", IF(R3&gt;=VLOOKUP(G3&amp;LOWER(E3), Formeln!$H$2:$K$30, 3, FALSE), "Siegerurkunde", "Teilnehmerurkunde")), "Keine Urkunde"))</f>
        <v>Teilnehmerurkunde</v>
      </c>
      <c r="T3" s="22">
        <f t="shared" si="10"/>
        <v>3.8</v>
      </c>
      <c r="X3" s="23"/>
      <c r="Y3" s="23"/>
      <c r="Z3" s="23"/>
      <c r="AA3" s="23"/>
    </row>
    <row r="4" ht="19.5" hidden="1" customHeight="1">
      <c r="A4" s="7" t="str">
        <f>IF(ASV_Daten!A10="","",ASV_Daten!A10)</f>
        <v>R5A</v>
      </c>
      <c r="B4" s="7" t="str">
        <f>IF(ASV_Daten!B10="","",ASV_Daten!B10)</f>
        <v>Keppel</v>
      </c>
      <c r="C4" s="7" t="str">
        <f>IF(ASV_Daten!C10="","",ASV_Daten!C10)</f>
        <v>Amelia</v>
      </c>
      <c r="D4" s="7">
        <f>IF(ASV_Daten!D10="","",ASV_Daten!D10)</f>
        <v>2014</v>
      </c>
      <c r="E4" s="7" t="str">
        <f>IF(ASV_Daten!E10="","",ASV_Daten!E10)</f>
        <v>W</v>
      </c>
      <c r="F4" s="8" t="str">
        <f t="shared" si="1"/>
        <v>5</v>
      </c>
      <c r="G4" s="9">
        <f t="shared" si="2"/>
        <v>12</v>
      </c>
      <c r="H4" s="10"/>
      <c r="I4" s="11">
        <f t="shared" si="3"/>
        <v>0</v>
      </c>
      <c r="J4" s="12">
        <v>9.4</v>
      </c>
      <c r="K4" s="11">
        <f t="shared" si="4"/>
        <v>233</v>
      </c>
      <c r="L4" s="12">
        <v>3.01</v>
      </c>
      <c r="M4" s="11">
        <f t="shared" si="5"/>
        <v>308</v>
      </c>
      <c r="N4" s="12">
        <v>15.0</v>
      </c>
      <c r="O4" s="11">
        <f t="shared" si="6"/>
        <v>211</v>
      </c>
      <c r="P4" s="11" t="str">
        <f t="shared" si="7"/>
        <v>Punkte W 5-6</v>
      </c>
      <c r="Q4" s="11" t="str">
        <f t="shared" si="8"/>
        <v>Noten-Matrix-Mädchen</v>
      </c>
      <c r="R4" s="13">
        <f t="shared" si="9"/>
        <v>752</v>
      </c>
      <c r="S4" s="11" t="str">
        <f>IF(R4=0, "Keine Teilnahme", IFERROR(IF(R4&gt;=VLOOKUP(G4&amp;LOWER(E4), Formeln!$H$2:$K$30, 4, FALSE), "Ehrenurkunde", IF(R4&gt;=VLOOKUP(G4&amp;LOWER(E4), Formeln!$H$2:$K$30, 3, FALSE), "Siegerurkunde", "Teilnehmerurkunde")), "Keine Urkunde"))</f>
        <v>Teilnehmerurkunde</v>
      </c>
      <c r="T4" s="14">
        <f t="shared" si="10"/>
        <v>2.9</v>
      </c>
      <c r="X4" s="23"/>
      <c r="Y4" s="23"/>
      <c r="Z4" s="24"/>
      <c r="AA4" s="24"/>
    </row>
    <row r="5" ht="19.5" hidden="1" customHeight="1">
      <c r="A5" s="15" t="str">
        <f>IF(ASV_Daten!A15="","",ASV_Daten!A15)</f>
        <v>R5A</v>
      </c>
      <c r="B5" s="15" t="str">
        <f>IF(ASV_Daten!B15="","",ASV_Daten!B15)</f>
        <v>Matos Martins</v>
      </c>
      <c r="C5" s="15" t="str">
        <f>IF(ASV_Daten!C15="","",ASV_Daten!C15)</f>
        <v>Beatriz</v>
      </c>
      <c r="D5" s="15">
        <f>IF(ASV_Daten!D15="","",ASV_Daten!D15)</f>
        <v>2015</v>
      </c>
      <c r="E5" s="15" t="str">
        <f>IF(ASV_Daten!E15="","",ASV_Daten!E15)</f>
        <v>W</v>
      </c>
      <c r="F5" s="16" t="str">
        <f t="shared" si="1"/>
        <v>5</v>
      </c>
      <c r="G5" s="17">
        <f t="shared" si="2"/>
        <v>11</v>
      </c>
      <c r="H5" s="25"/>
      <c r="I5" s="19">
        <f t="shared" si="3"/>
        <v>0</v>
      </c>
      <c r="J5" s="20">
        <v>9.7</v>
      </c>
      <c r="K5" s="19">
        <f t="shared" si="4"/>
        <v>209</v>
      </c>
      <c r="L5" s="20">
        <v>2.61</v>
      </c>
      <c r="M5" s="19">
        <f t="shared" si="5"/>
        <v>250</v>
      </c>
      <c r="N5" s="20">
        <v>11.0</v>
      </c>
      <c r="O5" s="19">
        <f t="shared" si="6"/>
        <v>147</v>
      </c>
      <c r="P5" s="19" t="str">
        <f t="shared" si="7"/>
        <v>Punkte W 5-6</v>
      </c>
      <c r="Q5" s="19" t="str">
        <f t="shared" si="8"/>
        <v>Noten-Matrix-Mädchen</v>
      </c>
      <c r="R5" s="21">
        <f t="shared" si="9"/>
        <v>606</v>
      </c>
      <c r="S5" s="19" t="str">
        <f>IF(R5=0, "Keine Teilnahme", IFERROR(IF(R5&gt;=VLOOKUP(G5&amp;LOWER(E5), Formeln!$H$2:$K$30, 4, FALSE), "Ehrenurkunde", IF(R5&gt;=VLOOKUP(G5&amp;LOWER(E5), Formeln!$H$2:$K$30, 3, FALSE), "Siegerurkunde", "Teilnehmerurkunde")), "Keine Urkunde"))</f>
        <v>Teilnehmerurkunde</v>
      </c>
      <c r="T5" s="22">
        <f t="shared" si="10"/>
        <v>3.4</v>
      </c>
      <c r="X5" s="23"/>
      <c r="Y5" s="23"/>
    </row>
    <row r="6" ht="19.5" hidden="1" customHeight="1">
      <c r="A6" s="7" t="str">
        <f>IF(ASV_Daten!A19="","",ASV_Daten!A19)</f>
        <v>R5A</v>
      </c>
      <c r="B6" s="7" t="str">
        <f>IF(ASV_Daten!B19="","",ASV_Daten!B19)</f>
        <v>Roso</v>
      </c>
      <c r="C6" s="7" t="str">
        <f>IF(ASV_Daten!C19="","",ASV_Daten!C19)</f>
        <v>Dejan</v>
      </c>
      <c r="D6" s="7">
        <f>IF(ASV_Daten!D19="","",ASV_Daten!D19)</f>
        <v>2015</v>
      </c>
      <c r="E6" s="7" t="str">
        <f>IF(ASV_Daten!E19="","",ASV_Daten!E19)</f>
        <v>M</v>
      </c>
      <c r="F6" s="8" t="str">
        <f t="shared" si="1"/>
        <v>5</v>
      </c>
      <c r="G6" s="9">
        <f t="shared" si="2"/>
        <v>11</v>
      </c>
      <c r="H6" s="10">
        <v>0.1909722222222222</v>
      </c>
      <c r="I6" s="11">
        <f t="shared" si="3"/>
        <v>244</v>
      </c>
      <c r="J6" s="11"/>
      <c r="K6" s="11">
        <f t="shared" si="4"/>
        <v>0</v>
      </c>
      <c r="L6" s="12">
        <v>3.09</v>
      </c>
      <c r="M6" s="11">
        <f t="shared" si="5"/>
        <v>277</v>
      </c>
      <c r="N6" s="12">
        <v>28.0</v>
      </c>
      <c r="O6" s="11">
        <f t="shared" si="6"/>
        <v>226</v>
      </c>
      <c r="P6" s="11" t="str">
        <f t="shared" si="7"/>
        <v>Punkte M 5-6</v>
      </c>
      <c r="Q6" s="11" t="str">
        <f t="shared" si="8"/>
        <v>Noten-Matrix-Jungen</v>
      </c>
      <c r="R6" s="13">
        <f t="shared" si="9"/>
        <v>747</v>
      </c>
      <c r="S6" s="11" t="str">
        <f>IF(R6=0, "Keine Teilnahme", IFERROR(IF(R6&gt;=VLOOKUP(G6&amp;LOWER(E6), Formeln!$H$2:$K$30, 4, FALSE), "Ehrenurkunde", IF(R6&gt;=VLOOKUP(G6&amp;LOWER(E6), Formeln!$H$2:$K$30, 3, FALSE), "Siegerurkunde", "Teilnehmerurkunde")), "Keine Urkunde"))</f>
        <v>Siegerurkunde</v>
      </c>
      <c r="T6" s="14">
        <f t="shared" si="10"/>
        <v>2.3</v>
      </c>
      <c r="Y6" s="23"/>
    </row>
    <row r="7" ht="19.5" hidden="1" customHeight="1">
      <c r="A7" s="15" t="str">
        <f>IF(ASV_Daten!A20="","",ASV_Daten!A20)</f>
        <v>R5A</v>
      </c>
      <c r="B7" s="15" t="str">
        <f>IF(ASV_Daten!B20="","",ASV_Daten!B20)</f>
        <v>Schuler</v>
      </c>
      <c r="C7" s="15" t="str">
        <f>IF(ASV_Daten!C20="","",ASV_Daten!C20)</f>
        <v>Adrian</v>
      </c>
      <c r="D7" s="15">
        <f>IF(ASV_Daten!D20="","",ASV_Daten!D20)</f>
        <v>2015</v>
      </c>
      <c r="E7" s="15" t="str">
        <f>IF(ASV_Daten!E22="","",ASV_Daten!E22)</f>
        <v>M</v>
      </c>
      <c r="F7" s="16" t="str">
        <f t="shared" si="1"/>
        <v>5</v>
      </c>
      <c r="G7" s="17">
        <f t="shared" si="2"/>
        <v>11</v>
      </c>
      <c r="H7" s="26">
        <v>0.18611111111111112</v>
      </c>
      <c r="I7" s="19">
        <f t="shared" si="3"/>
        <v>262</v>
      </c>
      <c r="J7" s="19"/>
      <c r="K7" s="19">
        <f t="shared" si="4"/>
        <v>0</v>
      </c>
      <c r="L7" s="20">
        <v>3.61</v>
      </c>
      <c r="M7" s="19">
        <f t="shared" si="5"/>
        <v>342</v>
      </c>
      <c r="N7" s="20">
        <v>23.0</v>
      </c>
      <c r="O7" s="19">
        <f t="shared" si="6"/>
        <v>181</v>
      </c>
      <c r="P7" s="19" t="str">
        <f t="shared" si="7"/>
        <v>Punkte M 5-6</v>
      </c>
      <c r="Q7" s="19" t="str">
        <f t="shared" si="8"/>
        <v>Noten-Matrix-Jungen</v>
      </c>
      <c r="R7" s="21">
        <f t="shared" si="9"/>
        <v>785</v>
      </c>
      <c r="S7" s="19" t="str">
        <f>IF(R7=0, "Keine Teilnahme", IFERROR(IF(R7&gt;=VLOOKUP(G7&amp;LOWER(E7), Formeln!$H$2:$K$30, 4, FALSE), "Ehrenurkunde", IF(R7&gt;=VLOOKUP(G7&amp;LOWER(E7), Formeln!$H$2:$K$30, 3, FALSE), "Siegerurkunde", "Teilnehmerurkunde")), "Keine Urkunde"))</f>
        <v>Siegerurkunde</v>
      </c>
      <c r="T7" s="22">
        <f t="shared" si="10"/>
        <v>2</v>
      </c>
    </row>
    <row r="8" ht="19.5" hidden="1" customHeight="1">
      <c r="A8" s="7" t="str">
        <f>IF(ASV_Daten!A25="","",ASV_Daten!A25)</f>
        <v>R5A</v>
      </c>
      <c r="B8" s="7" t="str">
        <f>IF(ASV_Daten!B25="","",ASV_Daten!B25)</f>
        <v>Waldvogel</v>
      </c>
      <c r="C8" s="7" t="str">
        <f>IF(ASV_Daten!C25="","",ASV_Daten!C25)</f>
        <v>Finn</v>
      </c>
      <c r="D8" s="7">
        <f>IF(ASV_Daten!D25="","",ASV_Daten!D25)</f>
        <v>2015</v>
      </c>
      <c r="E8" s="7" t="str">
        <f>IF(ASV_Daten!E25="","",ASV_Daten!E25)</f>
        <v>M</v>
      </c>
      <c r="F8" s="8" t="str">
        <f t="shared" si="1"/>
        <v>5</v>
      </c>
      <c r="G8" s="9">
        <f t="shared" si="2"/>
        <v>11</v>
      </c>
      <c r="H8" s="27"/>
      <c r="I8" s="11">
        <f t="shared" si="3"/>
        <v>0</v>
      </c>
      <c r="J8" s="12">
        <v>7.2</v>
      </c>
      <c r="K8" s="11">
        <f t="shared" si="4"/>
        <v>424</v>
      </c>
      <c r="L8" s="12">
        <v>2.69</v>
      </c>
      <c r="M8" s="11">
        <f t="shared" si="5"/>
        <v>223</v>
      </c>
      <c r="N8" s="12">
        <v>19.0</v>
      </c>
      <c r="O8" s="11">
        <f t="shared" si="6"/>
        <v>141</v>
      </c>
      <c r="P8" s="11" t="str">
        <f t="shared" si="7"/>
        <v>Punkte M 5-6</v>
      </c>
      <c r="Q8" s="11" t="str">
        <f t="shared" si="8"/>
        <v>Noten-Matrix-Jungen</v>
      </c>
      <c r="R8" s="13">
        <f t="shared" si="9"/>
        <v>788</v>
      </c>
      <c r="S8" s="11" t="str">
        <f>IF(R8=0, "Keine Teilnahme", IFERROR(IF(R8&gt;=VLOOKUP(G8&amp;LOWER(E8), Formeln!$H$2:$K$30, 4, FALSE), "Ehrenurkunde", IF(R8&gt;=VLOOKUP(G8&amp;LOWER(E8), Formeln!$H$2:$K$30, 3, FALSE), "Siegerurkunde", "Teilnehmerurkunde")), "Keine Urkunde"))</f>
        <v>Siegerurkunde</v>
      </c>
      <c r="T8" s="14">
        <f t="shared" si="10"/>
        <v>2</v>
      </c>
    </row>
    <row r="9" ht="19.5" hidden="1" customHeight="1">
      <c r="A9" s="15" t="str">
        <f>IF(ASV_Daten!A12="","",ASV_Daten!A12)</f>
        <v>R5A</v>
      </c>
      <c r="B9" s="15" t="str">
        <f>IF(ASV_Daten!B12="","",ASV_Daten!B12)</f>
        <v>Le Roux</v>
      </c>
      <c r="C9" s="15" t="str">
        <f>IF(ASV_Daten!C12="","",ASV_Daten!C12)</f>
        <v>Joel</v>
      </c>
      <c r="D9" s="15">
        <f>IF(ASV_Daten!D12="","",ASV_Daten!D12)</f>
        <v>2015</v>
      </c>
      <c r="E9" s="15" t="str">
        <f>IF(ASV_Daten!E12="","",ASV_Daten!E12)</f>
        <v>M</v>
      </c>
      <c r="F9" s="16" t="str">
        <f t="shared" si="1"/>
        <v>5</v>
      </c>
      <c r="G9" s="17">
        <f t="shared" si="2"/>
        <v>11</v>
      </c>
      <c r="H9" s="26"/>
      <c r="I9" s="19">
        <f t="shared" si="3"/>
        <v>0</v>
      </c>
      <c r="J9" s="20">
        <v>9.5</v>
      </c>
      <c r="K9" s="19">
        <f t="shared" si="4"/>
        <v>194</v>
      </c>
      <c r="L9" s="20">
        <v>2.81</v>
      </c>
      <c r="M9" s="19">
        <f t="shared" si="5"/>
        <v>240</v>
      </c>
      <c r="N9" s="20">
        <v>23.0</v>
      </c>
      <c r="O9" s="19">
        <f t="shared" si="6"/>
        <v>181</v>
      </c>
      <c r="P9" s="19" t="str">
        <f t="shared" si="7"/>
        <v>Punkte M 5-6</v>
      </c>
      <c r="Q9" s="19" t="str">
        <f t="shared" si="8"/>
        <v>Noten-Matrix-Jungen</v>
      </c>
      <c r="R9" s="21">
        <f t="shared" si="9"/>
        <v>615</v>
      </c>
      <c r="S9" s="19" t="str">
        <f>IF(R9=0, "Keine Teilnahme", IFERROR(IF(R9&gt;=VLOOKUP(G9&amp;LOWER(E9), Formeln!$H$2:$K$30, 4, FALSE), "Ehrenurkunde", IF(R9&gt;=VLOOKUP(G9&amp;LOWER(E9), Formeln!$H$2:$K$30, 3, FALSE), "Siegerurkunde", "Teilnehmerurkunde")), "Keine Urkunde"))</f>
        <v>Teilnehmerurkunde</v>
      </c>
      <c r="T9" s="22">
        <f t="shared" si="10"/>
        <v>3.1</v>
      </c>
      <c r="X9" s="23"/>
      <c r="Y9" s="23"/>
    </row>
    <row r="10" ht="19.5" hidden="1" customHeight="1">
      <c r="A10" s="7" t="str">
        <f>IF(ASV_Daten!A16="","",ASV_Daten!A16)</f>
        <v>R5A</v>
      </c>
      <c r="B10" s="7" t="str">
        <f>IF(ASV_Daten!B16="","",ASV_Daten!B16)</f>
        <v>Morina</v>
      </c>
      <c r="C10" s="7" t="str">
        <f>IF(ASV_Daten!C16="","",ASV_Daten!C16)</f>
        <v>Lediona</v>
      </c>
      <c r="D10" s="7">
        <f>IF(ASV_Daten!D16="","",ASV_Daten!D16)</f>
        <v>2015</v>
      </c>
      <c r="E10" s="7" t="str">
        <f>IF(ASV_Daten!E16="","",ASV_Daten!E16)</f>
        <v>W</v>
      </c>
      <c r="F10" s="8" t="str">
        <f t="shared" si="1"/>
        <v>5</v>
      </c>
      <c r="G10" s="9">
        <f t="shared" si="2"/>
        <v>11</v>
      </c>
      <c r="H10" s="11"/>
      <c r="I10" s="11">
        <f t="shared" si="3"/>
        <v>0</v>
      </c>
      <c r="J10" s="12">
        <v>8.6</v>
      </c>
      <c r="K10" s="11">
        <f t="shared" si="4"/>
        <v>304</v>
      </c>
      <c r="L10" s="12">
        <v>3.69</v>
      </c>
      <c r="M10" s="11">
        <f t="shared" si="5"/>
        <v>397</v>
      </c>
      <c r="N10" s="12">
        <v>19.0</v>
      </c>
      <c r="O10" s="11">
        <f t="shared" si="6"/>
        <v>267</v>
      </c>
      <c r="P10" s="11" t="str">
        <f t="shared" si="7"/>
        <v>Punkte W 5-6</v>
      </c>
      <c r="Q10" s="11" t="str">
        <f t="shared" si="8"/>
        <v>Noten-Matrix-Mädchen</v>
      </c>
      <c r="R10" s="13">
        <f t="shared" si="9"/>
        <v>968</v>
      </c>
      <c r="S10" s="11" t="str">
        <f>IF(R10=0, "Keine Teilnahme", IFERROR(IF(R10&gt;=VLOOKUP(G10&amp;LOWER(E10), Formeln!$H$2:$K$30, 4, FALSE), "Ehrenurkunde", IF(R10&gt;=VLOOKUP(G10&amp;LOWER(E10), Formeln!$H$2:$K$30, 3, FALSE), "Siegerurkunde", "Teilnehmerurkunde")), "Keine Urkunde"))</f>
        <v>Ehrenurkunde</v>
      </c>
      <c r="T10" s="14">
        <f t="shared" si="10"/>
        <v>1.2</v>
      </c>
      <c r="X10" s="23"/>
      <c r="Y10" s="23"/>
    </row>
    <row r="11" ht="19.5" hidden="1" customHeight="1">
      <c r="A11" s="15" t="str">
        <f>IF(ASV_Daten!A4="","",ASV_Daten!A4)</f>
        <v>R5A</v>
      </c>
      <c r="B11" s="15" t="str">
        <f>IF(ASV_Daten!B4="","",ASV_Daten!B4)</f>
        <v>Eiche</v>
      </c>
      <c r="C11" s="15" t="str">
        <f>IF(ASV_Daten!C4="","",ASV_Daten!C4)</f>
        <v>Lene</v>
      </c>
      <c r="D11" s="15">
        <f>IF(ASV_Daten!D4="","",ASV_Daten!D4)</f>
        <v>2015</v>
      </c>
      <c r="E11" s="15" t="str">
        <f>IF(ASV_Daten!E4="","",ASV_Daten!E4)</f>
        <v>W</v>
      </c>
      <c r="F11" s="16" t="str">
        <f t="shared" si="1"/>
        <v>5</v>
      </c>
      <c r="G11" s="17">
        <f t="shared" si="2"/>
        <v>11</v>
      </c>
      <c r="H11" s="18"/>
      <c r="I11" s="19">
        <f t="shared" si="3"/>
        <v>0</v>
      </c>
      <c r="J11" s="20">
        <v>9.5</v>
      </c>
      <c r="K11" s="19">
        <f t="shared" si="4"/>
        <v>225</v>
      </c>
      <c r="L11" s="20">
        <v>2.89</v>
      </c>
      <c r="M11" s="19">
        <f t="shared" si="5"/>
        <v>291</v>
      </c>
      <c r="N11" s="20">
        <v>14.0</v>
      </c>
      <c r="O11" s="19">
        <f t="shared" si="6"/>
        <v>196</v>
      </c>
      <c r="P11" s="19" t="str">
        <f t="shared" si="7"/>
        <v>Punkte W 5-6</v>
      </c>
      <c r="Q11" s="19" t="str">
        <f t="shared" si="8"/>
        <v>Noten-Matrix-Mädchen</v>
      </c>
      <c r="R11" s="21">
        <f t="shared" si="9"/>
        <v>712</v>
      </c>
      <c r="S11" s="19" t="str">
        <f>IF(R11=0, "Keine Teilnahme", IFERROR(IF(R11&gt;=VLOOKUP(G11&amp;LOWER(E11), Formeln!$H$2:$K$30, 4, FALSE), "Ehrenurkunde", IF(R11&gt;=VLOOKUP(G11&amp;LOWER(E11), Formeln!$H$2:$K$30, 3, FALSE), "Siegerurkunde", "Teilnehmerurkunde")), "Keine Urkunde"))</f>
        <v>Siegerurkunde</v>
      </c>
      <c r="T11" s="22">
        <f t="shared" si="10"/>
        <v>2.7</v>
      </c>
      <c r="X11" s="23"/>
      <c r="Y11" s="23"/>
    </row>
    <row r="12" ht="19.5" hidden="1" customHeight="1">
      <c r="A12" s="7" t="str">
        <f>IF(ASV_Daten!A3="","",ASV_Daten!A3)</f>
        <v>R5A</v>
      </c>
      <c r="B12" s="7" t="str">
        <f>IF(ASV_Daten!B3="","",ASV_Daten!B3)</f>
        <v>Böttcher</v>
      </c>
      <c r="C12" s="7" t="str">
        <f>IF(ASV_Daten!C3="","",ASV_Daten!C3)</f>
        <v>Lian</v>
      </c>
      <c r="D12" s="7">
        <f>IF(ASV_Daten!D3="","",ASV_Daten!D3)</f>
        <v>2015</v>
      </c>
      <c r="E12" s="7" t="str">
        <f>IF(ASV_Daten!E3="","",ASV_Daten!E3)</f>
        <v>M</v>
      </c>
      <c r="F12" s="8" t="str">
        <f t="shared" si="1"/>
        <v>5</v>
      </c>
      <c r="G12" s="9">
        <f t="shared" si="2"/>
        <v>11</v>
      </c>
      <c r="H12" s="10">
        <v>0.20069444444444445</v>
      </c>
      <c r="I12" s="11">
        <f t="shared" si="3"/>
        <v>213</v>
      </c>
      <c r="J12" s="12"/>
      <c r="K12" s="11">
        <f t="shared" si="4"/>
        <v>0</v>
      </c>
      <c r="L12" s="12">
        <v>3.09</v>
      </c>
      <c r="M12" s="11">
        <f t="shared" si="5"/>
        <v>277</v>
      </c>
      <c r="N12" s="12">
        <v>23.0</v>
      </c>
      <c r="O12" s="11">
        <f t="shared" si="6"/>
        <v>181</v>
      </c>
      <c r="P12" s="11" t="str">
        <f t="shared" si="7"/>
        <v>Punkte M 5-6</v>
      </c>
      <c r="Q12" s="11" t="str">
        <f t="shared" si="8"/>
        <v>Noten-Matrix-Jungen</v>
      </c>
      <c r="R12" s="13">
        <f t="shared" si="9"/>
        <v>671</v>
      </c>
      <c r="S12" s="11" t="str">
        <f>IF(R12=0, "Keine Teilnahme", IFERROR(IF(R12&gt;=VLOOKUP(G12&amp;LOWER(E12), Formeln!$H$2:$K$30, 4, FALSE), "Ehrenurkunde", IF(R12&gt;=VLOOKUP(G12&amp;LOWER(E12), Formeln!$H$2:$K$30, 3, FALSE), "Siegerurkunde", "Teilnehmerurkunde")), "Keine Urkunde"))</f>
        <v>Teilnehmerurkunde</v>
      </c>
      <c r="T12" s="14">
        <f t="shared" si="10"/>
        <v>2.8</v>
      </c>
      <c r="X12" s="23"/>
      <c r="Y12" s="23"/>
    </row>
    <row r="13" ht="19.5" hidden="1" customHeight="1">
      <c r="A13" s="15" t="str">
        <f>IF(ASV_Daten!A6="","",ASV_Daten!A6)</f>
        <v>R5A</v>
      </c>
      <c r="B13" s="15" t="str">
        <f>IF(ASV_Daten!B6="","",ASV_Daten!B6)</f>
        <v>Hajdaraj</v>
      </c>
      <c r="C13" s="15" t="str">
        <f>IF(ASV_Daten!C6="","",ASV_Daten!C6)</f>
        <v>Lorik</v>
      </c>
      <c r="D13" s="15">
        <f>IF(ASV_Daten!D6="","",ASV_Daten!D6)</f>
        <v>2015</v>
      </c>
      <c r="E13" s="15" t="str">
        <f>IF(ASV_Daten!E6="","",ASV_Daten!E6)</f>
        <v>M</v>
      </c>
      <c r="F13" s="16" t="str">
        <f t="shared" si="1"/>
        <v>5</v>
      </c>
      <c r="G13" s="17">
        <f t="shared" si="2"/>
        <v>11</v>
      </c>
      <c r="H13" s="18">
        <v>0.1875</v>
      </c>
      <c r="I13" s="19">
        <f t="shared" si="3"/>
        <v>257</v>
      </c>
      <c r="J13" s="20"/>
      <c r="K13" s="19">
        <f t="shared" si="4"/>
        <v>0</v>
      </c>
      <c r="L13" s="20">
        <v>3.29</v>
      </c>
      <c r="M13" s="19">
        <f t="shared" si="5"/>
        <v>302</v>
      </c>
      <c r="N13" s="20">
        <v>24.5</v>
      </c>
      <c r="O13" s="19">
        <f t="shared" si="6"/>
        <v>195</v>
      </c>
      <c r="P13" s="19" t="str">
        <f t="shared" si="7"/>
        <v>Punkte M 5-6</v>
      </c>
      <c r="Q13" s="19" t="str">
        <f t="shared" si="8"/>
        <v>Noten-Matrix-Jungen</v>
      </c>
      <c r="R13" s="21">
        <f t="shared" si="9"/>
        <v>754</v>
      </c>
      <c r="S13" s="19" t="str">
        <f>IF(R13=0, "Keine Teilnahme", IFERROR(IF(R13&gt;=VLOOKUP(G13&amp;LOWER(E13), Formeln!$H$2:$K$30, 4, FALSE), "Ehrenurkunde", IF(R13&gt;=VLOOKUP(G13&amp;LOWER(E13), Formeln!$H$2:$K$30, 3, FALSE), "Siegerurkunde", "Teilnehmerurkunde")), "Keine Urkunde"))</f>
        <v>Siegerurkunde</v>
      </c>
      <c r="T13" s="22">
        <f t="shared" si="10"/>
        <v>2.2</v>
      </c>
      <c r="X13" s="23"/>
      <c r="Y13" s="23"/>
    </row>
    <row r="14" ht="19.5" hidden="1" customHeight="1">
      <c r="A14" s="7" t="str">
        <f>IF(ASV_Daten!A23="","",ASV_Daten!A23)</f>
        <v>R5A</v>
      </c>
      <c r="B14" s="7" t="str">
        <f>IF(ASV_Daten!B23="","",ASV_Daten!B23)</f>
        <v>Singh</v>
      </c>
      <c r="C14" s="7" t="str">
        <f>IF(ASV_Daten!C23="","",ASV_Daten!C23)</f>
        <v>Louis</v>
      </c>
      <c r="D14" s="7">
        <f>IF(ASV_Daten!D23="","",ASV_Daten!D23)</f>
        <v>2014</v>
      </c>
      <c r="E14" s="7" t="str">
        <f>IF(ASV_Daten!E23="","",ASV_Daten!E23)</f>
        <v>M</v>
      </c>
      <c r="F14" s="8" t="str">
        <f t="shared" si="1"/>
        <v>5</v>
      </c>
      <c r="G14" s="9">
        <f t="shared" si="2"/>
        <v>12</v>
      </c>
      <c r="H14" s="11"/>
      <c r="I14" s="11">
        <f t="shared" si="3"/>
        <v>0</v>
      </c>
      <c r="J14" s="11"/>
      <c r="K14" s="11">
        <f t="shared" si="4"/>
        <v>0</v>
      </c>
      <c r="L14" s="11"/>
      <c r="M14" s="11">
        <f t="shared" si="5"/>
        <v>0</v>
      </c>
      <c r="N14" s="11"/>
      <c r="O14" s="11">
        <f t="shared" si="6"/>
        <v>0</v>
      </c>
      <c r="P14" s="11" t="str">
        <f t="shared" si="7"/>
        <v>Punkte M 5-6</v>
      </c>
      <c r="Q14" s="11" t="str">
        <f t="shared" si="8"/>
        <v>Noten-Matrix-Jungen</v>
      </c>
      <c r="R14" s="13">
        <f t="shared" si="9"/>
        <v>0</v>
      </c>
      <c r="S14" s="11" t="str">
        <f>IF(R14=0, "Keine Teilnahme", IFERROR(IF(R14&gt;=VLOOKUP(G14&amp;LOWER(E14), Formeln!$H$2:$K$30, 4, FALSE), "Ehrenurkunde", IF(R14&gt;=VLOOKUP(G14&amp;LOWER(E14), Formeln!$H$2:$K$30, 3, FALSE), "Siegerurkunde", "Teilnehmerurkunde")), "Keine Urkunde"))</f>
        <v>Keine Teilnahme</v>
      </c>
      <c r="T14" s="14" t="str">
        <f t="shared" si="10"/>
        <v>Keine Teilnahme</v>
      </c>
    </row>
    <row r="15" ht="19.5" hidden="1" customHeight="1">
      <c r="A15" s="15" t="str">
        <f>IF(ASV_Daten!A8="","",ASV_Daten!A8)</f>
        <v>R5A</v>
      </c>
      <c r="B15" s="15" t="str">
        <f>IF(ASV_Daten!B8="","",ASV_Daten!B8)</f>
        <v>Kaltenbach</v>
      </c>
      <c r="C15" s="15" t="str">
        <f>IF(ASV_Daten!C8="","",ASV_Daten!C8)</f>
        <v>Lucia</v>
      </c>
      <c r="D15" s="15">
        <f>IF(ASV_Daten!D8="","",ASV_Daten!D8)</f>
        <v>2015</v>
      </c>
      <c r="E15" s="15" t="str">
        <f>IF(ASV_Daten!E8="","",ASV_Daten!E8)</f>
        <v>W</v>
      </c>
      <c r="F15" s="16" t="str">
        <f t="shared" si="1"/>
        <v>5</v>
      </c>
      <c r="G15" s="17">
        <f t="shared" si="2"/>
        <v>11</v>
      </c>
      <c r="H15" s="26"/>
      <c r="I15" s="19">
        <f t="shared" si="3"/>
        <v>0</v>
      </c>
      <c r="J15" s="20">
        <v>10.2</v>
      </c>
      <c r="K15" s="19">
        <f t="shared" si="4"/>
        <v>172</v>
      </c>
      <c r="L15" s="20">
        <v>2.81</v>
      </c>
      <c r="M15" s="19">
        <f t="shared" si="5"/>
        <v>280</v>
      </c>
      <c r="N15" s="20">
        <v>18.0</v>
      </c>
      <c r="O15" s="19">
        <f t="shared" si="6"/>
        <v>253</v>
      </c>
      <c r="P15" s="19" t="str">
        <f t="shared" si="7"/>
        <v>Punkte W 5-6</v>
      </c>
      <c r="Q15" s="19" t="str">
        <f t="shared" si="8"/>
        <v>Noten-Matrix-Mädchen</v>
      </c>
      <c r="R15" s="21">
        <f t="shared" si="9"/>
        <v>705</v>
      </c>
      <c r="S15" s="19" t="str">
        <f>IF(R15=0, "Keine Teilnahme", IFERROR(IF(R15&gt;=VLOOKUP(G15&amp;LOWER(E15), Formeln!$H$2:$K$30, 4, FALSE), "Ehrenurkunde", IF(R15&gt;=VLOOKUP(G15&amp;LOWER(E15), Formeln!$H$2:$K$30, 3, FALSE), "Siegerurkunde", "Teilnehmerurkunde")), "Keine Urkunde"))</f>
        <v>Siegerurkunde</v>
      </c>
      <c r="T15" s="22">
        <f t="shared" si="10"/>
        <v>2.7</v>
      </c>
      <c r="X15" s="23"/>
      <c r="Y15" s="23"/>
    </row>
    <row r="16" ht="19.5" hidden="1" customHeight="1">
      <c r="A16" s="7" t="str">
        <f>IF(ASV_Daten!A7="","",ASV_Daten!A7)</f>
        <v>R5A</v>
      </c>
      <c r="B16" s="7" t="str">
        <f>IF(ASV_Daten!B7="","",ASV_Daten!B7)</f>
        <v>Herrman</v>
      </c>
      <c r="C16" s="7" t="str">
        <f>IF(ASV_Daten!C7="","",ASV_Daten!C7)</f>
        <v>Marlon</v>
      </c>
      <c r="D16" s="7">
        <f>IF(ASV_Daten!D7="","",ASV_Daten!D7)</f>
        <v>2014</v>
      </c>
      <c r="E16" s="7" t="str">
        <f>IF(ASV_Daten!E7="","",ASV_Daten!E7)</f>
        <v>M</v>
      </c>
      <c r="F16" s="8" t="str">
        <f t="shared" si="1"/>
        <v>5</v>
      </c>
      <c r="G16" s="9">
        <f t="shared" si="2"/>
        <v>12</v>
      </c>
      <c r="H16" s="28">
        <v>0.18888888888888888</v>
      </c>
      <c r="I16" s="11">
        <f t="shared" si="3"/>
        <v>253</v>
      </c>
      <c r="J16" s="11"/>
      <c r="K16" s="11">
        <f t="shared" si="4"/>
        <v>0</v>
      </c>
      <c r="L16" s="12">
        <v>3.21</v>
      </c>
      <c r="M16" s="11">
        <f t="shared" si="5"/>
        <v>292</v>
      </c>
      <c r="N16" s="12">
        <v>26.0</v>
      </c>
      <c r="O16" s="11">
        <f t="shared" si="6"/>
        <v>209</v>
      </c>
      <c r="P16" s="11" t="str">
        <f t="shared" si="7"/>
        <v>Punkte M 5-6</v>
      </c>
      <c r="Q16" s="11" t="str">
        <f t="shared" si="8"/>
        <v>Noten-Matrix-Jungen</v>
      </c>
      <c r="R16" s="13">
        <f t="shared" si="9"/>
        <v>754</v>
      </c>
      <c r="S16" s="11" t="str">
        <f>IF(R16=0, "Keine Teilnahme", IFERROR(IF(R16&gt;=VLOOKUP(G16&amp;LOWER(E16), Formeln!$H$2:$K$30, 4, FALSE), "Ehrenurkunde", IF(R16&gt;=VLOOKUP(G16&amp;LOWER(E16), Formeln!$H$2:$K$30, 3, FALSE), "Siegerurkunde", "Teilnehmerurkunde")), "Keine Urkunde"))</f>
        <v>Siegerurkunde</v>
      </c>
      <c r="T16" s="14">
        <f t="shared" si="10"/>
        <v>2.7</v>
      </c>
      <c r="X16" s="23"/>
      <c r="Y16" s="23"/>
    </row>
    <row r="17" ht="19.5" hidden="1" customHeight="1">
      <c r="A17" s="15" t="str">
        <f>IF(ASV_Daten!A17="","",ASV_Daten!A17)</f>
        <v>R5A</v>
      </c>
      <c r="B17" s="15" t="str">
        <f>IF(ASV_Daten!B17="","",ASV_Daten!B17)</f>
        <v>Pieler</v>
      </c>
      <c r="C17" s="15" t="str">
        <f>IF(ASV_Daten!C17="","",ASV_Daten!C17)</f>
        <v>Max</v>
      </c>
      <c r="D17" s="15">
        <f>IF(ASV_Daten!D17="","",ASV_Daten!D17)</f>
        <v>2015</v>
      </c>
      <c r="E17" s="15" t="str">
        <f>IF(ASV_Daten!E17="","",ASV_Daten!E17)</f>
        <v>M</v>
      </c>
      <c r="F17" s="16" t="str">
        <f t="shared" si="1"/>
        <v>5</v>
      </c>
      <c r="G17" s="17">
        <f t="shared" si="2"/>
        <v>11</v>
      </c>
      <c r="H17" s="18">
        <v>0.17916666666666667</v>
      </c>
      <c r="I17" s="19">
        <f t="shared" si="3"/>
        <v>286</v>
      </c>
      <c r="J17" s="19"/>
      <c r="K17" s="19">
        <f t="shared" si="4"/>
        <v>0</v>
      </c>
      <c r="L17" s="20">
        <v>3.81</v>
      </c>
      <c r="M17" s="19">
        <f t="shared" si="5"/>
        <v>366</v>
      </c>
      <c r="N17" s="20">
        <v>40.0</v>
      </c>
      <c r="O17" s="19">
        <f t="shared" si="6"/>
        <v>320</v>
      </c>
      <c r="P17" s="19" t="str">
        <f t="shared" si="7"/>
        <v>Punkte M 5-6</v>
      </c>
      <c r="Q17" s="19" t="str">
        <f t="shared" si="8"/>
        <v>Noten-Matrix-Jungen</v>
      </c>
      <c r="R17" s="21">
        <f t="shared" si="9"/>
        <v>972</v>
      </c>
      <c r="S17" s="19" t="str">
        <f>IF(R17=0, "Keine Teilnahme", IFERROR(IF(R17&gt;=VLOOKUP(G17&amp;LOWER(E17), Formeln!$H$2:$K$30, 4, FALSE), "Ehrenurkunde", IF(R17&gt;=VLOOKUP(G17&amp;LOWER(E17), Formeln!$H$2:$K$30, 3, FALSE), "Siegerurkunde", "Teilnehmerurkunde")), "Keine Urkunde"))</f>
        <v>Ehrenurkunde</v>
      </c>
      <c r="T17" s="22">
        <f t="shared" si="10"/>
        <v>1.1</v>
      </c>
      <c r="X17" s="23"/>
      <c r="Y17" s="23"/>
    </row>
    <row r="18" ht="19.5" hidden="1" customHeight="1">
      <c r="A18" s="7" t="str">
        <f>IF(ASV_Daten!A13="","",ASV_Daten!A13)</f>
        <v>R5A</v>
      </c>
      <c r="B18" s="7" t="str">
        <f>IF(ASV_Daten!B13="","",ASV_Daten!B13)</f>
        <v>Lickert</v>
      </c>
      <c r="C18" s="7" t="str">
        <f>IF(ASV_Daten!C13="","",ASV_Daten!C13)</f>
        <v>Mia</v>
      </c>
      <c r="D18" s="7">
        <f>IF(ASV_Daten!D13="","",ASV_Daten!D13)</f>
        <v>2014</v>
      </c>
      <c r="E18" s="7" t="str">
        <f>IF(ASV_Daten!E13="","",ASV_Daten!E13)</f>
        <v>W</v>
      </c>
      <c r="F18" s="8" t="str">
        <f t="shared" si="1"/>
        <v>5</v>
      </c>
      <c r="G18" s="9">
        <f t="shared" si="2"/>
        <v>12</v>
      </c>
      <c r="H18" s="10"/>
      <c r="I18" s="11">
        <f t="shared" si="3"/>
        <v>0</v>
      </c>
      <c r="J18" s="12">
        <v>8.5</v>
      </c>
      <c r="K18" s="11">
        <f t="shared" si="4"/>
        <v>314</v>
      </c>
      <c r="L18" s="12">
        <v>3.49</v>
      </c>
      <c r="M18" s="11">
        <f t="shared" si="5"/>
        <v>372</v>
      </c>
      <c r="N18" s="12">
        <v>19.0</v>
      </c>
      <c r="O18" s="11">
        <f t="shared" si="6"/>
        <v>267</v>
      </c>
      <c r="P18" s="11" t="str">
        <f t="shared" si="7"/>
        <v>Punkte W 5-6</v>
      </c>
      <c r="Q18" s="11" t="str">
        <f t="shared" si="8"/>
        <v>Noten-Matrix-Mädchen</v>
      </c>
      <c r="R18" s="13">
        <f t="shared" si="9"/>
        <v>953</v>
      </c>
      <c r="S18" s="11" t="str">
        <f>IF(R18=0, "Keine Teilnahme", IFERROR(IF(R18&gt;=VLOOKUP(G18&amp;LOWER(E18), Formeln!$H$2:$K$30, 4, FALSE), "Ehrenurkunde", IF(R18&gt;=VLOOKUP(G18&amp;LOWER(E18), Formeln!$H$2:$K$30, 3, FALSE), "Siegerurkunde", "Teilnehmerurkunde")), "Keine Urkunde"))</f>
        <v>Siegerurkunde</v>
      </c>
      <c r="T18" s="14">
        <f t="shared" si="10"/>
        <v>1.7</v>
      </c>
      <c r="X18" s="23"/>
      <c r="Y18" s="23"/>
    </row>
    <row r="19" ht="19.5" hidden="1" customHeight="1">
      <c r="A19" s="15" t="str">
        <f>IF(ASV_Daten!A26="","",ASV_Daten!A26)</f>
        <v>R5A</v>
      </c>
      <c r="B19" s="15" t="str">
        <f>IF(ASV_Daten!B26="","",ASV_Daten!B26)</f>
        <v>Ziuzina</v>
      </c>
      <c r="C19" s="15" t="str">
        <f>IF(ASV_Daten!C26="","",ASV_Daten!C26)</f>
        <v>Milana</v>
      </c>
      <c r="D19" s="15">
        <f>IF(ASV_Daten!D26="","",ASV_Daten!D26)</f>
        <v>2014</v>
      </c>
      <c r="E19" s="15" t="str">
        <f>IF(ASV_Daten!E26="","",ASV_Daten!E26)</f>
        <v>W</v>
      </c>
      <c r="F19" s="16" t="str">
        <f t="shared" si="1"/>
        <v>5</v>
      </c>
      <c r="G19" s="17">
        <f t="shared" si="2"/>
        <v>12</v>
      </c>
      <c r="H19" s="19"/>
      <c r="I19" s="19">
        <f t="shared" si="3"/>
        <v>0</v>
      </c>
      <c r="J19" s="20">
        <v>9.4</v>
      </c>
      <c r="K19" s="19">
        <f t="shared" si="4"/>
        <v>233</v>
      </c>
      <c r="L19" s="20">
        <v>3.09</v>
      </c>
      <c r="M19" s="19">
        <f t="shared" si="5"/>
        <v>319</v>
      </c>
      <c r="N19" s="20">
        <v>10.0</v>
      </c>
      <c r="O19" s="19">
        <f t="shared" si="6"/>
        <v>130</v>
      </c>
      <c r="P19" s="19" t="str">
        <f t="shared" si="7"/>
        <v>Punkte W 5-6</v>
      </c>
      <c r="Q19" s="19" t="str">
        <f t="shared" si="8"/>
        <v>Noten-Matrix-Mädchen</v>
      </c>
      <c r="R19" s="21">
        <f t="shared" si="9"/>
        <v>682</v>
      </c>
      <c r="S19" s="19" t="str">
        <f>IF(R19=0, "Keine Teilnahme", IFERROR(IF(R19&gt;=VLOOKUP(G19&amp;LOWER(E19), Formeln!$H$2:$K$30, 4, FALSE), "Ehrenurkunde", IF(R19&gt;=VLOOKUP(G19&amp;LOWER(E19), Formeln!$H$2:$K$30, 3, FALSE), "Siegerurkunde", "Teilnehmerurkunde")), "Keine Urkunde"))</f>
        <v>Teilnehmerurkunde</v>
      </c>
      <c r="T19" s="22">
        <f t="shared" si="10"/>
        <v>3.4</v>
      </c>
    </row>
    <row r="20" ht="19.5" hidden="1" customHeight="1">
      <c r="A20" s="7" t="str">
        <f>IF(ASV_Daten!A11="","",ASV_Daten!A11)</f>
        <v>R5A</v>
      </c>
      <c r="B20" s="7" t="str">
        <f>IF(ASV_Daten!B11="","",ASV_Daten!B11)</f>
        <v>Kramer</v>
      </c>
      <c r="C20" s="7" t="str">
        <f>IF(ASV_Daten!C11="","",ASV_Daten!C11)</f>
        <v>Mira</v>
      </c>
      <c r="D20" s="7">
        <f>IF(ASV_Daten!D11="","",ASV_Daten!D11)</f>
        <v>2015</v>
      </c>
      <c r="E20" s="7" t="str">
        <f>IF(ASV_Daten!E11="","",ASV_Daten!E11)</f>
        <v>W</v>
      </c>
      <c r="F20" s="8" t="str">
        <f t="shared" si="1"/>
        <v>5</v>
      </c>
      <c r="G20" s="9">
        <f t="shared" si="2"/>
        <v>11</v>
      </c>
      <c r="H20" s="10"/>
      <c r="I20" s="11">
        <f t="shared" si="3"/>
        <v>0</v>
      </c>
      <c r="J20" s="12">
        <v>10.8</v>
      </c>
      <c r="K20" s="11">
        <f t="shared" si="4"/>
        <v>133</v>
      </c>
      <c r="L20" s="12">
        <v>2.61</v>
      </c>
      <c r="M20" s="11">
        <f t="shared" si="5"/>
        <v>250</v>
      </c>
      <c r="N20" s="12">
        <v>15.5</v>
      </c>
      <c r="O20" s="11">
        <f t="shared" si="6"/>
        <v>218</v>
      </c>
      <c r="P20" s="11" t="str">
        <f t="shared" si="7"/>
        <v>Punkte W 5-6</v>
      </c>
      <c r="Q20" s="11" t="str">
        <f t="shared" si="8"/>
        <v>Noten-Matrix-Mädchen</v>
      </c>
      <c r="R20" s="13">
        <f t="shared" si="9"/>
        <v>601</v>
      </c>
      <c r="S20" s="11" t="str">
        <f>IF(R20=0, "Keine Teilnahme", IFERROR(IF(R20&gt;=VLOOKUP(G20&amp;LOWER(E20), Formeln!$H$2:$K$30, 4, FALSE), "Ehrenurkunde", IF(R20&gt;=VLOOKUP(G20&amp;LOWER(E20), Formeln!$H$2:$K$30, 3, FALSE), "Siegerurkunde", "Teilnehmerurkunde")), "Keine Urkunde"))</f>
        <v>Teilnehmerurkunde</v>
      </c>
      <c r="T20" s="14">
        <f t="shared" si="10"/>
        <v>3.4</v>
      </c>
      <c r="X20" s="23"/>
      <c r="Y20" s="23"/>
    </row>
    <row r="21" ht="19.5" hidden="1" customHeight="1">
      <c r="A21" s="15" t="str">
        <f>IF(ASV_Daten!A14="","",ASV_Daten!A14)</f>
        <v>R5A</v>
      </c>
      <c r="B21" s="15" t="str">
        <f>IF(ASV_Daten!B14="","",ASV_Daten!B14)</f>
        <v>Magidi</v>
      </c>
      <c r="C21" s="15" t="str">
        <f>IF(ASV_Daten!C14="","",ASV_Daten!C14)</f>
        <v>Mobina</v>
      </c>
      <c r="D21" s="15">
        <f>IF(ASV_Daten!D14="","",ASV_Daten!D14)</f>
        <v>2015</v>
      </c>
      <c r="E21" s="15" t="str">
        <f>IF(ASV_Daten!E14="","",ASV_Daten!E14)</f>
        <v>W</v>
      </c>
      <c r="F21" s="16" t="str">
        <f t="shared" si="1"/>
        <v>5</v>
      </c>
      <c r="G21" s="17">
        <f t="shared" si="2"/>
        <v>11</v>
      </c>
      <c r="H21" s="19"/>
      <c r="I21" s="19">
        <f t="shared" si="3"/>
        <v>0</v>
      </c>
      <c r="J21" s="20">
        <v>10.3</v>
      </c>
      <c r="K21" s="19">
        <f t="shared" si="4"/>
        <v>166</v>
      </c>
      <c r="L21" s="20">
        <v>2.69</v>
      </c>
      <c r="M21" s="19">
        <f t="shared" si="5"/>
        <v>262</v>
      </c>
      <c r="N21" s="20">
        <v>17.5</v>
      </c>
      <c r="O21" s="19">
        <f t="shared" si="6"/>
        <v>247</v>
      </c>
      <c r="P21" s="19" t="str">
        <f t="shared" si="7"/>
        <v>Punkte W 5-6</v>
      </c>
      <c r="Q21" s="19" t="str">
        <f t="shared" si="8"/>
        <v>Noten-Matrix-Mädchen</v>
      </c>
      <c r="R21" s="21">
        <f t="shared" si="9"/>
        <v>675</v>
      </c>
      <c r="S21" s="19" t="str">
        <f>IF(R21=0, "Keine Teilnahme", IFERROR(IF(R21&gt;=VLOOKUP(G21&amp;LOWER(E21), Formeln!$H$2:$K$30, 4, FALSE), "Ehrenurkunde", IF(R21&gt;=VLOOKUP(G21&amp;LOWER(E21), Formeln!$H$2:$K$30, 3, FALSE), "Siegerurkunde", "Teilnehmerurkunde")), "Keine Urkunde"))</f>
        <v>Teilnehmerurkunde</v>
      </c>
      <c r="T21" s="22">
        <f t="shared" si="10"/>
        <v>2.9</v>
      </c>
      <c r="X21" s="23"/>
      <c r="Y21" s="23"/>
    </row>
    <row r="22" ht="19.5" hidden="1" customHeight="1">
      <c r="A22" s="7" t="str">
        <f>IF(ASV_Daten!A9="","",ASV_Daten!A9)</f>
        <v>R5A</v>
      </c>
      <c r="B22" s="7" t="str">
        <f>IF(ASV_Daten!B9="","",ASV_Daten!B9)</f>
        <v>Kaltschmidt</v>
      </c>
      <c r="C22" s="7" t="str">
        <f>IF(ASV_Daten!C9="","",ASV_Daten!C9)</f>
        <v>Nelly</v>
      </c>
      <c r="D22" s="7">
        <f>IF(ASV_Daten!D9="","",ASV_Daten!D9)</f>
        <v>2014</v>
      </c>
      <c r="E22" s="7" t="str">
        <f>IF(ASV_Daten!E9="","",ASV_Daten!E9)</f>
        <v>W</v>
      </c>
      <c r="F22" s="8" t="str">
        <f t="shared" si="1"/>
        <v>5</v>
      </c>
      <c r="G22" s="9">
        <f t="shared" si="2"/>
        <v>12</v>
      </c>
      <c r="H22" s="10">
        <v>0.15208333333333332</v>
      </c>
      <c r="I22" s="11">
        <f t="shared" si="3"/>
        <v>249</v>
      </c>
      <c r="J22" s="11"/>
      <c r="K22" s="11">
        <f t="shared" si="4"/>
        <v>0</v>
      </c>
      <c r="L22" s="11"/>
      <c r="M22" s="11">
        <f t="shared" si="5"/>
        <v>0</v>
      </c>
      <c r="N22" s="12">
        <v>18.0</v>
      </c>
      <c r="O22" s="11">
        <f t="shared" si="6"/>
        <v>253</v>
      </c>
      <c r="P22" s="11" t="str">
        <f t="shared" si="7"/>
        <v>Punkte W 5-6</v>
      </c>
      <c r="Q22" s="11" t="str">
        <f t="shared" si="8"/>
        <v>Noten-Matrix-Mädchen</v>
      </c>
      <c r="R22" s="13">
        <f t="shared" si="9"/>
        <v>502</v>
      </c>
      <c r="S22" s="11" t="str">
        <f>IF(R22=0, "Keine Teilnahme", IFERROR(IF(R22&gt;=VLOOKUP(G22&amp;LOWER(E22), Formeln!$H$2:$K$30, 4, FALSE), "Ehrenurkunde", IF(R22&gt;=VLOOKUP(G22&amp;LOWER(E22), Formeln!$H$2:$K$30, 3, FALSE), "Siegerurkunde", "Teilnehmerurkunde")), "Keine Urkunde"))</f>
        <v>Teilnehmerurkunde</v>
      </c>
      <c r="T22" s="14" t="str">
        <f t="shared" si="10"/>
        <v>NOTE</v>
      </c>
      <c r="X22" s="23"/>
      <c r="Y22" s="23"/>
    </row>
    <row r="23" ht="19.5" hidden="1" customHeight="1">
      <c r="A23" s="15" t="str">
        <f>IF(ASV_Daten!A18="","",ASV_Daten!A18)</f>
        <v>R5A</v>
      </c>
      <c r="B23" s="15" t="str">
        <f>IF(ASV_Daten!B18="","",ASV_Daten!B18)</f>
        <v>Rogg</v>
      </c>
      <c r="C23" s="15" t="str">
        <f>IF(ASV_Daten!C18="","",ASV_Daten!C18)</f>
        <v>Nico</v>
      </c>
      <c r="D23" s="15">
        <f>IF(ASV_Daten!D18="","",ASV_Daten!D18)</f>
        <v>2014</v>
      </c>
      <c r="E23" s="15" t="str">
        <f>IF(ASV_Daten!E18="","",ASV_Daten!E18)</f>
        <v>M</v>
      </c>
      <c r="F23" s="16" t="str">
        <f t="shared" si="1"/>
        <v>5</v>
      </c>
      <c r="G23" s="17">
        <f t="shared" si="2"/>
        <v>12</v>
      </c>
      <c r="H23" s="18">
        <v>0.2013888888888889</v>
      </c>
      <c r="I23" s="19">
        <f t="shared" si="3"/>
        <v>213</v>
      </c>
      <c r="J23" s="19"/>
      <c r="K23" s="19">
        <f t="shared" si="4"/>
        <v>0</v>
      </c>
      <c r="L23" s="20">
        <v>3.09</v>
      </c>
      <c r="M23" s="19">
        <f t="shared" si="5"/>
        <v>277</v>
      </c>
      <c r="N23" s="20">
        <v>25.0</v>
      </c>
      <c r="O23" s="19">
        <f t="shared" si="6"/>
        <v>200</v>
      </c>
      <c r="P23" s="19" t="str">
        <f t="shared" si="7"/>
        <v>Punkte M 5-6</v>
      </c>
      <c r="Q23" s="19" t="str">
        <f t="shared" si="8"/>
        <v>Noten-Matrix-Jungen</v>
      </c>
      <c r="R23" s="21">
        <f t="shared" si="9"/>
        <v>690</v>
      </c>
      <c r="S23" s="19" t="str">
        <f>IF(R23=0, "Keine Teilnahme", IFERROR(IF(R23&gt;=VLOOKUP(G23&amp;LOWER(E23), Formeln!$H$2:$K$30, 4, FALSE), "Ehrenurkunde", IF(R23&gt;=VLOOKUP(G23&amp;LOWER(E23), Formeln!$H$2:$K$30, 3, FALSE), "Siegerurkunde", "Teilnehmerurkunde")), "Keine Urkunde"))</f>
        <v>Teilnehmerurkunde</v>
      </c>
      <c r="T23" s="22">
        <f t="shared" si="10"/>
        <v>3.1</v>
      </c>
      <c r="Y23" s="23"/>
    </row>
    <row r="24" ht="19.5" hidden="1" customHeight="1">
      <c r="A24" s="7" t="str">
        <f>IF(ASV_Daten!A22="","",ASV_Daten!A22)</f>
        <v>R5A</v>
      </c>
      <c r="B24" s="7" t="str">
        <f>IF(ASV_Daten!B22="","",ASV_Daten!B22)</f>
        <v>Shahini</v>
      </c>
      <c r="C24" s="7" t="str">
        <f>IF(ASV_Daten!C22="","",ASV_Daten!C22)</f>
        <v>Dion</v>
      </c>
      <c r="D24" s="7">
        <f>IF(ASV_Daten!D22="","",ASV_Daten!D22)</f>
        <v>2014</v>
      </c>
      <c r="E24" s="7" t="str">
        <f>IF(ASV_Daten!E21="","",ASV_Daten!E21)</f>
        <v>M</v>
      </c>
      <c r="F24" s="8" t="str">
        <f t="shared" si="1"/>
        <v>5</v>
      </c>
      <c r="G24" s="9">
        <f t="shared" si="2"/>
        <v>12</v>
      </c>
      <c r="H24" s="10">
        <v>0.1875</v>
      </c>
      <c r="I24" s="11">
        <f t="shared" si="3"/>
        <v>257</v>
      </c>
      <c r="J24" s="11"/>
      <c r="K24" s="11">
        <f t="shared" si="4"/>
        <v>0</v>
      </c>
      <c r="L24" s="11"/>
      <c r="M24" s="11">
        <f t="shared" si="5"/>
        <v>0</v>
      </c>
      <c r="N24" s="11"/>
      <c r="O24" s="11">
        <f t="shared" si="6"/>
        <v>0</v>
      </c>
      <c r="P24" s="11" t="str">
        <f t="shared" si="7"/>
        <v>Punkte M 5-6</v>
      </c>
      <c r="Q24" s="11" t="str">
        <f t="shared" si="8"/>
        <v>Noten-Matrix-Jungen</v>
      </c>
      <c r="R24" s="13">
        <f t="shared" si="9"/>
        <v>257</v>
      </c>
      <c r="S24" s="11" t="str">
        <f>IF(R24=0, "Keine Teilnahme", IFERROR(IF(R24&gt;=VLOOKUP(G24&amp;LOWER(E24), Formeln!$H$2:$K$30, 4, FALSE), "Ehrenurkunde", IF(R24&gt;=VLOOKUP(G24&amp;LOWER(E24), Formeln!$H$2:$K$30, 3, FALSE), "Siegerurkunde", "Teilnehmerurkunde")), "Keine Urkunde"))</f>
        <v>Teilnehmerurkunde</v>
      </c>
      <c r="T24" s="14" t="str">
        <f t="shared" si="10"/>
        <v>NOTE</v>
      </c>
    </row>
    <row r="25" ht="19.5" hidden="1" customHeight="1">
      <c r="A25" s="15" t="str">
        <f>IF(ASV_Daten!A24="","",ASV_Daten!A24)</f>
        <v>R5A</v>
      </c>
      <c r="B25" s="15" t="str">
        <f>IF(ASV_Daten!B24="","",ASV_Daten!B24)</f>
        <v>Uhlmann</v>
      </c>
      <c r="C25" s="15" t="str">
        <f>IF(ASV_Daten!C24="","",ASV_Daten!C24)</f>
        <v>Paul</v>
      </c>
      <c r="D25" s="15">
        <f>IF(ASV_Daten!D24="","",ASV_Daten!D24)</f>
        <v>2014</v>
      </c>
      <c r="E25" s="15" t="str">
        <f>IF(ASV_Daten!E24="","",ASV_Daten!E24)</f>
        <v>M</v>
      </c>
      <c r="F25" s="16" t="str">
        <f t="shared" si="1"/>
        <v>5</v>
      </c>
      <c r="G25" s="17">
        <f t="shared" si="2"/>
        <v>12</v>
      </c>
      <c r="H25" s="19"/>
      <c r="I25" s="19">
        <f t="shared" si="3"/>
        <v>0</v>
      </c>
      <c r="J25" s="20">
        <v>9.4</v>
      </c>
      <c r="K25" s="19">
        <f t="shared" si="4"/>
        <v>202</v>
      </c>
      <c r="L25" s="20">
        <v>3.29</v>
      </c>
      <c r="M25" s="19">
        <f t="shared" si="5"/>
        <v>302</v>
      </c>
      <c r="N25" s="20">
        <v>26.0</v>
      </c>
      <c r="O25" s="19">
        <f t="shared" si="6"/>
        <v>209</v>
      </c>
      <c r="P25" s="19" t="str">
        <f t="shared" si="7"/>
        <v>Punkte M 5-6</v>
      </c>
      <c r="Q25" s="19" t="str">
        <f t="shared" si="8"/>
        <v>Noten-Matrix-Jungen</v>
      </c>
      <c r="R25" s="21">
        <f t="shared" si="9"/>
        <v>713</v>
      </c>
      <c r="S25" s="19" t="str">
        <f>IF(R25=0, "Keine Teilnahme", IFERROR(IF(R25&gt;=VLOOKUP(G25&amp;LOWER(E25), Formeln!$H$2:$K$30, 4, FALSE), "Ehrenurkunde", IF(R25&gt;=VLOOKUP(G25&amp;LOWER(E25), Formeln!$H$2:$K$30, 3, FALSE), "Siegerurkunde", "Teilnehmerurkunde")), "Keine Urkunde"))</f>
        <v>Teilnehmerurkunde</v>
      </c>
      <c r="T25" s="22">
        <f t="shared" si="10"/>
        <v>3</v>
      </c>
    </row>
    <row r="26" ht="19.5" hidden="1" customHeight="1">
      <c r="A26" s="7" t="str">
        <f>IF(ASV_Daten!A2="","",ASV_Daten!A2)</f>
        <v>R5A</v>
      </c>
      <c r="B26" s="7" t="str">
        <f>IF(ASV_Daten!B2="","",ASV_Daten!B2)</f>
        <v>Birkle</v>
      </c>
      <c r="C26" s="7" t="str">
        <f>IF(ASV_Daten!C2="","",ASV_Daten!C2)</f>
        <v>Teresa</v>
      </c>
      <c r="D26" s="7">
        <f>IF(ASV_Daten!D2="","",ASV_Daten!D2)</f>
        <v>2015</v>
      </c>
      <c r="E26" s="29" t="s">
        <v>20</v>
      </c>
      <c r="F26" s="8" t="str">
        <f t="shared" si="1"/>
        <v>5</v>
      </c>
      <c r="G26" s="9">
        <f t="shared" si="2"/>
        <v>11</v>
      </c>
      <c r="H26" s="10"/>
      <c r="I26" s="11">
        <f t="shared" si="3"/>
        <v>0</v>
      </c>
      <c r="J26" s="30">
        <v>8.6</v>
      </c>
      <c r="K26" s="11">
        <f t="shared" si="4"/>
        <v>304</v>
      </c>
      <c r="L26" s="12">
        <v>3.41</v>
      </c>
      <c r="M26" s="11">
        <f t="shared" si="5"/>
        <v>362</v>
      </c>
      <c r="N26" s="12">
        <v>20.0</v>
      </c>
      <c r="O26" s="11">
        <f t="shared" si="6"/>
        <v>280</v>
      </c>
      <c r="P26" s="11" t="str">
        <f t="shared" si="7"/>
        <v>Punkte W 5-6</v>
      </c>
      <c r="Q26" s="11" t="str">
        <f t="shared" si="8"/>
        <v>Noten-Matrix-Mädchen</v>
      </c>
      <c r="R26" s="13">
        <f t="shared" si="9"/>
        <v>946</v>
      </c>
      <c r="S26" s="11" t="str">
        <f>IF(R26=0, "Keine Teilnahme", IFERROR(IF(R26&gt;=VLOOKUP(G26&amp;LOWER(E26), Formeln!$H$2:$K$30, 4, FALSE), "Ehrenurkunde", IF(R26&gt;=VLOOKUP(G26&amp;LOWER(E26), Formeln!$H$2:$K$30, 3, FALSE), "Siegerurkunde", "Teilnehmerurkunde")), "Keine Urkunde"))</f>
        <v>Ehrenurkunde</v>
      </c>
      <c r="T26" s="14">
        <f t="shared" si="10"/>
        <v>1.3</v>
      </c>
      <c r="U26" s="31"/>
      <c r="V26" s="31"/>
      <c r="X26" s="23"/>
      <c r="Y26" s="23"/>
    </row>
    <row r="27" ht="19.5" hidden="1" customHeight="1">
      <c r="A27" s="15" t="str">
        <f>IF(ASV_Daten!A36="","",ASV_Daten!A36)</f>
        <v>R5B</v>
      </c>
      <c r="B27" s="15" t="str">
        <f>IF(ASV_Daten!B36="","",ASV_Daten!B36)</f>
        <v>Kleiser</v>
      </c>
      <c r="C27" s="15" t="str">
        <f>IF(ASV_Daten!C36="","",ASV_Daten!C36)</f>
        <v>Alicia</v>
      </c>
      <c r="D27" s="15">
        <f>IF(ASV_Daten!D36="","",ASV_Daten!D36)</f>
        <v>2015</v>
      </c>
      <c r="E27" s="15" t="str">
        <f>IF(ASV_Daten!E36="","",ASV_Daten!E36)</f>
        <v>W</v>
      </c>
      <c r="F27" s="16" t="str">
        <f t="shared" si="1"/>
        <v>5</v>
      </c>
      <c r="G27" s="17">
        <f t="shared" si="2"/>
        <v>11</v>
      </c>
      <c r="H27" s="19"/>
      <c r="I27" s="19">
        <f t="shared" si="3"/>
        <v>0</v>
      </c>
      <c r="J27" s="20">
        <v>8.7</v>
      </c>
      <c r="K27" s="19">
        <f t="shared" si="4"/>
        <v>294</v>
      </c>
      <c r="L27" s="20">
        <v>3.21</v>
      </c>
      <c r="M27" s="19">
        <f t="shared" si="5"/>
        <v>335</v>
      </c>
      <c r="N27" s="20">
        <v>20.0</v>
      </c>
      <c r="O27" s="19">
        <f t="shared" si="6"/>
        <v>280</v>
      </c>
      <c r="P27" s="19" t="str">
        <f t="shared" si="7"/>
        <v>Punkte W 5-6</v>
      </c>
      <c r="Q27" s="19" t="str">
        <f t="shared" si="8"/>
        <v>Noten-Matrix-Mädchen</v>
      </c>
      <c r="R27" s="21">
        <f t="shared" si="9"/>
        <v>909</v>
      </c>
      <c r="S27" s="19" t="str">
        <f>IF(R27=0, "Keine Teilnahme", IFERROR(IF(R27&gt;=VLOOKUP(G27&amp;LOWER(E27), Formeln!$H$2:$K$30, 4, FALSE), "Ehrenurkunde", IF(R27&gt;=VLOOKUP(G27&amp;LOWER(E27), Formeln!$H$2:$K$30, 3, FALSE), "Siegerurkunde", "Teilnehmerurkunde")), "Keine Urkunde"))</f>
        <v>Ehrenurkunde</v>
      </c>
      <c r="T27" s="22">
        <f t="shared" si="10"/>
        <v>1.5</v>
      </c>
    </row>
    <row r="28" ht="19.5" hidden="1" customHeight="1">
      <c r="A28" s="7" t="str">
        <f>IF(ASV_Daten!A37="","",ASV_Daten!A37)</f>
        <v>R5B</v>
      </c>
      <c r="B28" s="7" t="str">
        <f>IF(ASV_Daten!B37="","",ASV_Daten!B37)</f>
        <v>Lejosne</v>
      </c>
      <c r="C28" s="7" t="str">
        <f>IF(ASV_Daten!C37="","",ASV_Daten!C37)</f>
        <v>Anastasiia</v>
      </c>
      <c r="D28" s="7">
        <f>IF(ASV_Daten!D37="","",ASV_Daten!D37)</f>
        <v>2015</v>
      </c>
      <c r="E28" s="7" t="str">
        <f>IF(ASV_Daten!E37="","",ASV_Daten!E37)</f>
        <v>W</v>
      </c>
      <c r="F28" s="8" t="str">
        <f t="shared" si="1"/>
        <v>5</v>
      </c>
      <c r="G28" s="9">
        <f t="shared" si="2"/>
        <v>11</v>
      </c>
      <c r="H28" s="11"/>
      <c r="I28" s="11">
        <f t="shared" si="3"/>
        <v>0</v>
      </c>
      <c r="J28" s="11"/>
      <c r="K28" s="11">
        <f t="shared" si="4"/>
        <v>0</v>
      </c>
      <c r="L28" s="11"/>
      <c r="M28" s="11">
        <f t="shared" si="5"/>
        <v>0</v>
      </c>
      <c r="N28" s="11"/>
      <c r="O28" s="11">
        <f t="shared" si="6"/>
        <v>0</v>
      </c>
      <c r="P28" s="11" t="str">
        <f t="shared" si="7"/>
        <v>Punkte W 5-6</v>
      </c>
      <c r="Q28" s="11" t="str">
        <f t="shared" si="8"/>
        <v>Noten-Matrix-Mädchen</v>
      </c>
      <c r="R28" s="13">
        <f t="shared" si="9"/>
        <v>0</v>
      </c>
      <c r="S28" s="11" t="str">
        <f>IF(R28=0, "Keine Teilnahme", IFERROR(IF(R28&gt;=VLOOKUP(G28&amp;LOWER(E28), Formeln!$H$2:$K$30, 4, FALSE), "Ehrenurkunde", IF(R28&gt;=VLOOKUP(G28&amp;LOWER(E28), Formeln!$H$2:$K$30, 3, FALSE), "Siegerurkunde", "Teilnehmerurkunde")), "Keine Urkunde"))</f>
        <v>Keine Teilnahme</v>
      </c>
      <c r="T28" s="14" t="str">
        <f t="shared" si="10"/>
        <v>Keine Teilnahme</v>
      </c>
    </row>
    <row r="29" ht="19.5" hidden="1" customHeight="1">
      <c r="A29" s="15" t="str">
        <f>IF(ASV_Daten!A28="","",ASV_Daten!A28)</f>
        <v>R5B</v>
      </c>
      <c r="B29" s="15" t="str">
        <f>IF(ASV_Daten!B28="","",ASV_Daten!B28)</f>
        <v>Buchova</v>
      </c>
      <c r="C29" s="15" t="str">
        <f>IF(ASV_Daten!C28="","",ASV_Daten!C28)</f>
        <v>Anna</v>
      </c>
      <c r="D29" s="15">
        <f>IF(ASV_Daten!D28="","",ASV_Daten!D28)</f>
        <v>2015</v>
      </c>
      <c r="E29" s="15" t="str">
        <f>IF(ASV_Daten!E28="","",ASV_Daten!E28)</f>
        <v>W</v>
      </c>
      <c r="F29" s="16" t="str">
        <f t="shared" si="1"/>
        <v>5</v>
      </c>
      <c r="G29" s="17">
        <f t="shared" si="2"/>
        <v>11</v>
      </c>
      <c r="H29" s="19"/>
      <c r="I29" s="19">
        <f t="shared" si="3"/>
        <v>0</v>
      </c>
      <c r="J29" s="20">
        <v>9.1</v>
      </c>
      <c r="K29" s="19">
        <f t="shared" si="4"/>
        <v>258</v>
      </c>
      <c r="L29" s="20">
        <v>3.01</v>
      </c>
      <c r="M29" s="19">
        <f t="shared" si="5"/>
        <v>308</v>
      </c>
      <c r="N29" s="20">
        <v>16.5</v>
      </c>
      <c r="O29" s="19">
        <f t="shared" si="6"/>
        <v>233</v>
      </c>
      <c r="P29" s="19" t="str">
        <f t="shared" si="7"/>
        <v>Punkte W 5-6</v>
      </c>
      <c r="Q29" s="19" t="str">
        <f t="shared" si="8"/>
        <v>Noten-Matrix-Mädchen</v>
      </c>
      <c r="R29" s="21">
        <f t="shared" si="9"/>
        <v>799</v>
      </c>
      <c r="S29" s="19" t="str">
        <f>IF(R29=0, "Keine Teilnahme", IFERROR(IF(R29&gt;=VLOOKUP(G29&amp;LOWER(E29), Formeln!$H$2:$K$30, 4, FALSE), "Ehrenurkunde", IF(R29&gt;=VLOOKUP(G29&amp;LOWER(E29), Formeln!$H$2:$K$30, 3, FALSE), "Siegerurkunde", "Teilnehmerurkunde")), "Keine Urkunde"))</f>
        <v>Siegerurkunde</v>
      </c>
      <c r="T29" s="22">
        <f t="shared" si="10"/>
        <v>2.1</v>
      </c>
    </row>
    <row r="30" ht="19.5" hidden="1" customHeight="1">
      <c r="A30" s="7" t="str">
        <f>IF(ASV_Daten!A42="","",ASV_Daten!A42)</f>
        <v>R5B</v>
      </c>
      <c r="B30" s="7" t="str">
        <f>IF(ASV_Daten!B42="","",ASV_Daten!B42)</f>
        <v>Wider</v>
      </c>
      <c r="C30" s="7" t="str">
        <f>IF(ASV_Daten!C42="","",ASV_Daten!C42)</f>
        <v>Anna-Maria</v>
      </c>
      <c r="D30" s="7">
        <f>IF(ASV_Daten!D42="","",ASV_Daten!D42)</f>
        <v>2015</v>
      </c>
      <c r="E30" s="7" t="str">
        <f>IF(ASV_Daten!E42="","",ASV_Daten!E42)</f>
        <v>W</v>
      </c>
      <c r="F30" s="8" t="str">
        <f t="shared" si="1"/>
        <v>5</v>
      </c>
      <c r="G30" s="9">
        <f t="shared" si="2"/>
        <v>11</v>
      </c>
      <c r="H30" s="10">
        <v>0.12916666666666668</v>
      </c>
      <c r="I30" s="11">
        <f t="shared" si="3"/>
        <v>352</v>
      </c>
      <c r="J30" s="11"/>
      <c r="K30" s="11">
        <f t="shared" si="4"/>
        <v>0</v>
      </c>
      <c r="L30" s="12">
        <v>3.17</v>
      </c>
      <c r="M30" s="11">
        <f t="shared" si="5"/>
        <v>330</v>
      </c>
      <c r="N30" s="12">
        <v>19.0</v>
      </c>
      <c r="O30" s="11">
        <f t="shared" si="6"/>
        <v>267</v>
      </c>
      <c r="P30" s="11" t="str">
        <f t="shared" si="7"/>
        <v>Punkte W 5-6</v>
      </c>
      <c r="Q30" s="11" t="str">
        <f t="shared" si="8"/>
        <v>Noten-Matrix-Mädchen</v>
      </c>
      <c r="R30" s="13">
        <f t="shared" si="9"/>
        <v>949</v>
      </c>
      <c r="S30" s="11" t="str">
        <f>IF(R30=0, "Keine Teilnahme", IFERROR(IF(R30&gt;=VLOOKUP(G30&amp;LOWER(E30), Formeln!$H$2:$K$30, 4, FALSE), "Ehrenurkunde", IF(R30&gt;=VLOOKUP(G30&amp;LOWER(E30), Formeln!$H$2:$K$30, 3, FALSE), "Siegerurkunde", "Teilnehmerurkunde")), "Keine Urkunde"))</f>
        <v>Ehrenurkunde</v>
      </c>
      <c r="T30" s="14">
        <f t="shared" si="10"/>
        <v>1.3</v>
      </c>
    </row>
    <row r="31" ht="19.5" hidden="1" customHeight="1">
      <c r="A31" s="15" t="str">
        <f>IF(ASV_Daten!A34="","",ASV_Daten!A34)</f>
        <v>R5B</v>
      </c>
      <c r="B31" s="15" t="str">
        <f>IF(ASV_Daten!B34="","",ASV_Daten!B34)</f>
        <v>Jammali</v>
      </c>
      <c r="C31" s="15" t="str">
        <f>IF(ASV_Daten!C34="","",ASV_Daten!C34)</f>
        <v>Elias</v>
      </c>
      <c r="D31" s="15">
        <f>IF(ASV_Daten!D34="","",ASV_Daten!D34)</f>
        <v>2014</v>
      </c>
      <c r="E31" s="15" t="str">
        <f>IF(ASV_Daten!E34="","",ASV_Daten!E34)</f>
        <v>W</v>
      </c>
      <c r="F31" s="16" t="str">
        <f t="shared" si="1"/>
        <v>5</v>
      </c>
      <c r="G31" s="17">
        <f t="shared" si="2"/>
        <v>12</v>
      </c>
      <c r="H31" s="20" t="s">
        <v>21</v>
      </c>
      <c r="I31" s="19" t="str">
        <f t="shared" si="3"/>
        <v>Punkte</v>
      </c>
      <c r="J31" s="19"/>
      <c r="K31" s="19">
        <f t="shared" si="4"/>
        <v>0</v>
      </c>
      <c r="L31" s="20">
        <v>2.45</v>
      </c>
      <c r="M31" s="19">
        <f t="shared" si="5"/>
        <v>226</v>
      </c>
      <c r="N31" s="20">
        <v>20.5</v>
      </c>
      <c r="O31" s="19">
        <f t="shared" si="6"/>
        <v>286</v>
      </c>
      <c r="P31" s="19" t="str">
        <f t="shared" si="7"/>
        <v>Punkte W 5-6</v>
      </c>
      <c r="Q31" s="19" t="str">
        <f t="shared" si="8"/>
        <v>Noten-Matrix-Mädchen</v>
      </c>
      <c r="R31" s="21">
        <f t="shared" si="9"/>
        <v>512</v>
      </c>
      <c r="S31" s="19" t="str">
        <f>IF(R31=0, "Keine Teilnahme", IFERROR(IF(R31&gt;=VLOOKUP(G31&amp;LOWER(E31), Formeln!$H$2:$K$30, 4, FALSE), "Ehrenurkunde", IF(R31&gt;=VLOOKUP(G31&amp;LOWER(E31), Formeln!$H$2:$K$30, 3, FALSE), "Siegerurkunde", "Teilnehmerurkunde")), "Keine Urkunde"))</f>
        <v>Teilnehmerurkunde</v>
      </c>
      <c r="T31" s="22" t="str">
        <f t="shared" si="10"/>
        <v>NOTE</v>
      </c>
    </row>
    <row r="32" ht="19.5" hidden="1" customHeight="1">
      <c r="A32" s="7" t="str">
        <f>IF(ASV_Daten!A38="","",ASV_Daten!A38)</f>
        <v>R5B</v>
      </c>
      <c r="B32" s="7" t="str">
        <f>IF(ASV_Daten!B38="","",ASV_Daten!B38)</f>
        <v>Omodion</v>
      </c>
      <c r="C32" s="7" t="str">
        <f>IF(ASV_Daten!C38="","",ASV_Daten!C38)</f>
        <v>Grace</v>
      </c>
      <c r="D32" s="7">
        <f>IF(ASV_Daten!D38="","",ASV_Daten!D38)</f>
        <v>2014</v>
      </c>
      <c r="E32" s="7" t="str">
        <f>IF(ASV_Daten!E38="","",ASV_Daten!E38)</f>
        <v>W</v>
      </c>
      <c r="F32" s="8" t="str">
        <f t="shared" si="1"/>
        <v>5</v>
      </c>
      <c r="G32" s="9">
        <f t="shared" si="2"/>
        <v>12</v>
      </c>
      <c r="H32" s="27"/>
      <c r="I32" s="11">
        <f t="shared" si="3"/>
        <v>0</v>
      </c>
      <c r="J32" s="12">
        <v>7.8</v>
      </c>
      <c r="K32" s="11">
        <f t="shared" si="4"/>
        <v>389</v>
      </c>
      <c r="L32" s="12">
        <v>3.65</v>
      </c>
      <c r="M32" s="11">
        <f t="shared" si="5"/>
        <v>392</v>
      </c>
      <c r="N32" s="12">
        <v>17.5</v>
      </c>
      <c r="O32" s="11">
        <f t="shared" si="6"/>
        <v>247</v>
      </c>
      <c r="P32" s="11" t="str">
        <f t="shared" si="7"/>
        <v>Punkte W 5-6</v>
      </c>
      <c r="Q32" s="11" t="str">
        <f t="shared" si="8"/>
        <v>Noten-Matrix-Mädchen</v>
      </c>
      <c r="R32" s="13">
        <f t="shared" si="9"/>
        <v>1028</v>
      </c>
      <c r="S32" s="11" t="str">
        <f>IF(R32=0, "Keine Teilnahme", IFERROR(IF(R32&gt;=VLOOKUP(G32&amp;LOWER(E32), Formeln!$H$2:$K$30, 4, FALSE), "Ehrenurkunde", IF(R32&gt;=VLOOKUP(G32&amp;LOWER(E32), Formeln!$H$2:$K$30, 3, FALSE), "Siegerurkunde", "Teilnehmerurkunde")), "Keine Urkunde"))</f>
        <v>Ehrenurkunde</v>
      </c>
      <c r="T32" s="14">
        <f t="shared" si="10"/>
        <v>1.3</v>
      </c>
    </row>
    <row r="33" ht="19.5" hidden="1" customHeight="1">
      <c r="A33" s="15" t="str">
        <f>IF(ASV_Daten!A43="","",ASV_Daten!A43)</f>
        <v>R5B</v>
      </c>
      <c r="B33" s="15" t="str">
        <f>IF(ASV_Daten!B43="","",ASV_Daten!B43)</f>
        <v>Zabel</v>
      </c>
      <c r="C33" s="15" t="str">
        <f>IF(ASV_Daten!C43="","",ASV_Daten!C43)</f>
        <v>Hendrik</v>
      </c>
      <c r="D33" s="15">
        <f>IF(ASV_Daten!D43="","",ASV_Daten!D43)</f>
        <v>2015</v>
      </c>
      <c r="E33" s="15" t="str">
        <f>IF(ASV_Daten!E43="","",ASV_Daten!E43)</f>
        <v>M</v>
      </c>
      <c r="F33" s="16" t="str">
        <f t="shared" si="1"/>
        <v>5</v>
      </c>
      <c r="G33" s="17">
        <f t="shared" si="2"/>
        <v>11</v>
      </c>
      <c r="H33" s="26">
        <v>0.2152777777777778</v>
      </c>
      <c r="I33" s="19">
        <f t="shared" si="3"/>
        <v>174</v>
      </c>
      <c r="J33" s="19"/>
      <c r="K33" s="19">
        <f t="shared" si="4"/>
        <v>0</v>
      </c>
      <c r="L33" s="20">
        <v>2.81</v>
      </c>
      <c r="M33" s="19">
        <f t="shared" si="5"/>
        <v>240</v>
      </c>
      <c r="N33" s="20">
        <v>25.0</v>
      </c>
      <c r="O33" s="19">
        <f t="shared" si="6"/>
        <v>200</v>
      </c>
      <c r="P33" s="19" t="str">
        <f t="shared" si="7"/>
        <v>Punkte M 5-6</v>
      </c>
      <c r="Q33" s="19" t="str">
        <f t="shared" si="8"/>
        <v>Noten-Matrix-Jungen</v>
      </c>
      <c r="R33" s="21">
        <f t="shared" si="9"/>
        <v>614</v>
      </c>
      <c r="S33" s="19" t="str">
        <f>IF(R33=0, "Keine Teilnahme", IFERROR(IF(R33&gt;=VLOOKUP(G33&amp;LOWER(E33), Formeln!$H$2:$K$30, 4, FALSE), "Ehrenurkunde", IF(R33&gt;=VLOOKUP(G33&amp;LOWER(E33), Formeln!$H$2:$K$30, 3, FALSE), "Siegerurkunde", "Teilnehmerurkunde")), "Keine Urkunde"))</f>
        <v>Teilnehmerurkunde</v>
      </c>
      <c r="T33" s="22">
        <f t="shared" si="10"/>
        <v>3.2</v>
      </c>
    </row>
    <row r="34" ht="19.5" hidden="1" customHeight="1">
      <c r="A34" s="7" t="str">
        <f>IF(ASV_Daten!A32="","",ASV_Daten!A32)</f>
        <v>R5B</v>
      </c>
      <c r="B34" s="7" t="str">
        <f>IF(ASV_Daten!B32="","",ASV_Daten!B32)</f>
        <v>Gross</v>
      </c>
      <c r="C34" s="7" t="str">
        <f>IF(ASV_Daten!C32="","",ASV_Daten!C32)</f>
        <v>Lea</v>
      </c>
      <c r="D34" s="7">
        <f>IF(ASV_Daten!D32="","",ASV_Daten!D32)</f>
        <v>2015</v>
      </c>
      <c r="E34" s="7" t="str">
        <f>IF(ASV_Daten!E32="","",ASV_Daten!E32)</f>
        <v>W</v>
      </c>
      <c r="F34" s="8" t="str">
        <f t="shared" si="1"/>
        <v>5</v>
      </c>
      <c r="G34" s="9">
        <f t="shared" si="2"/>
        <v>11</v>
      </c>
      <c r="H34" s="28">
        <v>0.14097222222222222</v>
      </c>
      <c r="I34" s="11">
        <f t="shared" si="3"/>
        <v>293</v>
      </c>
      <c r="J34" s="11"/>
      <c r="K34" s="11">
        <f t="shared" si="4"/>
        <v>0</v>
      </c>
      <c r="L34" s="12">
        <v>3.29</v>
      </c>
      <c r="M34" s="11">
        <f t="shared" si="5"/>
        <v>346</v>
      </c>
      <c r="N34" s="12">
        <v>20.5</v>
      </c>
      <c r="O34" s="11">
        <f t="shared" si="6"/>
        <v>286</v>
      </c>
      <c r="P34" s="11" t="str">
        <f t="shared" si="7"/>
        <v>Punkte W 5-6</v>
      </c>
      <c r="Q34" s="11" t="str">
        <f t="shared" si="8"/>
        <v>Noten-Matrix-Mädchen</v>
      </c>
      <c r="R34" s="13">
        <f t="shared" si="9"/>
        <v>925</v>
      </c>
      <c r="S34" s="11" t="str">
        <f>IF(R34=0, "Keine Teilnahme", IFERROR(IF(R34&gt;=VLOOKUP(G34&amp;LOWER(E34), Formeln!$H$2:$K$30, 4, FALSE), "Ehrenurkunde", IF(R34&gt;=VLOOKUP(G34&amp;LOWER(E34), Formeln!$H$2:$K$30, 3, FALSE), "Siegerurkunde", "Teilnehmerurkunde")), "Keine Urkunde"))</f>
        <v>Ehrenurkunde</v>
      </c>
      <c r="T34" s="14">
        <f t="shared" si="10"/>
        <v>1.4</v>
      </c>
    </row>
    <row r="35" ht="19.5" hidden="1" customHeight="1">
      <c r="A35" s="15" t="str">
        <f>IF(ASV_Daten!A29="","",ASV_Daten!A29)</f>
        <v>R5B</v>
      </c>
      <c r="B35" s="15" t="str">
        <f>IF(ASV_Daten!B29="","",ASV_Daten!B29)</f>
        <v>Eidinger</v>
      </c>
      <c r="C35" s="15" t="str">
        <f>IF(ASV_Daten!C29="","",ASV_Daten!C29)</f>
        <v>Leif</v>
      </c>
      <c r="D35" s="15">
        <f>IF(ASV_Daten!D29="","",ASV_Daten!D29)</f>
        <v>2014</v>
      </c>
      <c r="E35" s="15" t="str">
        <f>IF(ASV_Daten!E29="","",ASV_Daten!E29)</f>
        <v>M</v>
      </c>
      <c r="F35" s="16" t="str">
        <f t="shared" si="1"/>
        <v>5</v>
      </c>
      <c r="G35" s="17">
        <f t="shared" si="2"/>
        <v>12</v>
      </c>
      <c r="H35" s="19"/>
      <c r="I35" s="19">
        <f t="shared" si="3"/>
        <v>0</v>
      </c>
      <c r="J35" s="20">
        <v>9.1</v>
      </c>
      <c r="K35" s="19">
        <f t="shared" si="4"/>
        <v>226</v>
      </c>
      <c r="L35" s="20">
        <v>2.93</v>
      </c>
      <c r="M35" s="19">
        <f t="shared" si="5"/>
        <v>256</v>
      </c>
      <c r="N35" s="20">
        <v>21.0</v>
      </c>
      <c r="O35" s="19">
        <f t="shared" si="6"/>
        <v>162</v>
      </c>
      <c r="P35" s="19" t="str">
        <f t="shared" si="7"/>
        <v>Punkte M 5-6</v>
      </c>
      <c r="Q35" s="19" t="str">
        <f t="shared" si="8"/>
        <v>Noten-Matrix-Jungen</v>
      </c>
      <c r="R35" s="21">
        <f t="shared" si="9"/>
        <v>644</v>
      </c>
      <c r="S35" s="19" t="str">
        <f>IF(R35=0, "Keine Teilnahme", IFERROR(IF(R35&gt;=VLOOKUP(G35&amp;LOWER(E35), Formeln!$H$2:$K$30, 4, FALSE), "Ehrenurkunde", IF(R35&gt;=VLOOKUP(G35&amp;LOWER(E35), Formeln!$H$2:$K$30, 3, FALSE), "Siegerurkunde", "Teilnehmerurkunde")), "Keine Urkunde"))</f>
        <v>Teilnehmerurkunde</v>
      </c>
      <c r="T35" s="22">
        <f t="shared" si="10"/>
        <v>3.5</v>
      </c>
    </row>
    <row r="36" ht="19.5" hidden="1" customHeight="1">
      <c r="A36" s="7" t="str">
        <f>IF(ASV_Daten!A35="","",ASV_Daten!A35)</f>
        <v>R5B</v>
      </c>
      <c r="B36" s="7" t="str">
        <f>IF(ASV_Daten!B35="","",ASV_Daten!B35)</f>
        <v>Jordan</v>
      </c>
      <c r="C36" s="7" t="str">
        <f>IF(ASV_Daten!C35="","",ASV_Daten!C35)</f>
        <v>Lena</v>
      </c>
      <c r="D36" s="7">
        <f>IF(ASV_Daten!D35="","",ASV_Daten!D35)</f>
        <v>2014</v>
      </c>
      <c r="E36" s="7" t="str">
        <f>IF(ASV_Daten!E35="","",ASV_Daten!E35)</f>
        <v>W</v>
      </c>
      <c r="F36" s="8" t="str">
        <f t="shared" si="1"/>
        <v>5</v>
      </c>
      <c r="G36" s="9">
        <f t="shared" si="2"/>
        <v>12</v>
      </c>
      <c r="H36" s="10">
        <v>0.18194444444444444</v>
      </c>
      <c r="I36" s="11">
        <f t="shared" si="3"/>
        <v>155</v>
      </c>
      <c r="J36" s="11"/>
      <c r="K36" s="11">
        <f t="shared" si="4"/>
        <v>0</v>
      </c>
      <c r="L36" s="12">
        <v>2.37</v>
      </c>
      <c r="M36" s="11">
        <f t="shared" si="5"/>
        <v>214</v>
      </c>
      <c r="N36" s="12">
        <v>9.0</v>
      </c>
      <c r="O36" s="11">
        <f t="shared" si="6"/>
        <v>111</v>
      </c>
      <c r="P36" s="11" t="str">
        <f t="shared" si="7"/>
        <v>Punkte W 5-6</v>
      </c>
      <c r="Q36" s="11" t="str">
        <f t="shared" si="8"/>
        <v>Noten-Matrix-Mädchen</v>
      </c>
      <c r="R36" s="13">
        <f t="shared" si="9"/>
        <v>480</v>
      </c>
      <c r="S36" s="11" t="str">
        <f>IF(R36=0, "Keine Teilnahme", IFERROR(IF(R36&gt;=VLOOKUP(G36&amp;LOWER(E36), Formeln!$H$2:$K$30, 4, FALSE), "Ehrenurkunde", IF(R36&gt;=VLOOKUP(G36&amp;LOWER(E36), Formeln!$H$2:$K$30, 3, FALSE), "Siegerurkunde", "Teilnehmerurkunde")), "Keine Urkunde"))</f>
        <v>Teilnehmerurkunde</v>
      </c>
      <c r="T36" s="14" t="str">
        <f t="shared" si="10"/>
        <v>NOTE</v>
      </c>
    </row>
    <row r="37" ht="19.5" hidden="1" customHeight="1">
      <c r="A37" s="15" t="str">
        <f>IF(ASV_Daten!A31="","",ASV_Daten!A31)</f>
        <v>R5B</v>
      </c>
      <c r="B37" s="15" t="str">
        <f>IF(ASV_Daten!B31="","",ASV_Daten!B31)</f>
        <v>Frisch</v>
      </c>
      <c r="C37" s="15" t="str">
        <f>IF(ASV_Daten!C31="","",ASV_Daten!C31)</f>
        <v>Mattis</v>
      </c>
      <c r="D37" s="15">
        <f>IF(ASV_Daten!D31="","",ASV_Daten!D31)</f>
        <v>2014</v>
      </c>
      <c r="E37" s="15" t="str">
        <f>IF(ASV_Daten!E31="","",ASV_Daten!E31)</f>
        <v>M</v>
      </c>
      <c r="F37" s="16" t="str">
        <f t="shared" si="1"/>
        <v>5</v>
      </c>
      <c r="G37" s="17">
        <f t="shared" si="2"/>
        <v>12</v>
      </c>
      <c r="H37" s="25"/>
      <c r="I37" s="19">
        <f t="shared" si="3"/>
        <v>0</v>
      </c>
      <c r="J37" s="20">
        <v>8.6</v>
      </c>
      <c r="K37" s="19">
        <f t="shared" si="4"/>
        <v>270</v>
      </c>
      <c r="L37" s="20">
        <v>3.33</v>
      </c>
      <c r="M37" s="19">
        <f t="shared" si="5"/>
        <v>308</v>
      </c>
      <c r="N37" s="20">
        <v>27.0</v>
      </c>
      <c r="O37" s="19">
        <f t="shared" si="6"/>
        <v>217</v>
      </c>
      <c r="P37" s="19" t="str">
        <f t="shared" si="7"/>
        <v>Punkte M 5-6</v>
      </c>
      <c r="Q37" s="19" t="str">
        <f t="shared" si="8"/>
        <v>Noten-Matrix-Jungen</v>
      </c>
      <c r="R37" s="21">
        <f t="shared" si="9"/>
        <v>795</v>
      </c>
      <c r="S37" s="19" t="str">
        <f>IF(R37=0, "Keine Teilnahme", IFERROR(IF(R37&gt;=VLOOKUP(G37&amp;LOWER(E37), Formeln!$H$2:$K$30, 4, FALSE), "Ehrenurkunde", IF(R37&gt;=VLOOKUP(G37&amp;LOWER(E37), Formeln!$H$2:$K$30, 3, FALSE), "Siegerurkunde", "Teilnehmerurkunde")), "Keine Urkunde"))</f>
        <v>Siegerurkunde</v>
      </c>
      <c r="T37" s="22">
        <f t="shared" si="10"/>
        <v>2.5</v>
      </c>
    </row>
    <row r="38" ht="19.5" hidden="1" customHeight="1">
      <c r="A38" s="7" t="str">
        <f>IF(ASV_Daten!A27="","",ASV_Daten!A27)</f>
        <v>R5B</v>
      </c>
      <c r="B38" s="7" t="str">
        <f>IF(ASV_Daten!B27="","",ASV_Daten!B27)</f>
        <v>Babanin</v>
      </c>
      <c r="C38" s="7" t="str">
        <f>IF(ASV_Daten!C27="","",ASV_Daten!C27)</f>
        <v>Michelle</v>
      </c>
      <c r="D38" s="7">
        <f>IF(ASV_Daten!D27="","",ASV_Daten!D27)</f>
        <v>2015</v>
      </c>
      <c r="E38" s="7" t="str">
        <f>IF(ASV_Daten!E27="","",ASV_Daten!E27)</f>
        <v>W</v>
      </c>
      <c r="F38" s="8" t="str">
        <f t="shared" si="1"/>
        <v>5</v>
      </c>
      <c r="G38" s="9">
        <f t="shared" si="2"/>
        <v>11</v>
      </c>
      <c r="H38" s="11"/>
      <c r="I38" s="11">
        <f t="shared" si="3"/>
        <v>0</v>
      </c>
      <c r="J38" s="12">
        <v>7.7</v>
      </c>
      <c r="K38" s="11">
        <f t="shared" si="4"/>
        <v>401</v>
      </c>
      <c r="L38" s="12">
        <v>3.53</v>
      </c>
      <c r="M38" s="11">
        <f t="shared" si="5"/>
        <v>377</v>
      </c>
      <c r="N38" s="12">
        <v>27.0</v>
      </c>
      <c r="O38" s="11">
        <f t="shared" si="6"/>
        <v>363</v>
      </c>
      <c r="P38" s="11" t="str">
        <f t="shared" si="7"/>
        <v>Punkte W 5-6</v>
      </c>
      <c r="Q38" s="11" t="str">
        <f t="shared" si="8"/>
        <v>Noten-Matrix-Mädchen</v>
      </c>
      <c r="R38" s="13">
        <f t="shared" si="9"/>
        <v>1141</v>
      </c>
      <c r="S38" s="11" t="str">
        <f>IF(R38=0, "Keine Teilnahme", IFERROR(IF(R38&gt;=VLOOKUP(G38&amp;LOWER(E38), Formeln!$H$2:$K$30, 4, FALSE), "Ehrenurkunde", IF(R38&gt;=VLOOKUP(G38&amp;LOWER(E38), Formeln!$H$2:$K$30, 3, FALSE), "Siegerurkunde", "Teilnehmerurkunde")), "Keine Urkunde"))</f>
        <v>Ehrenurkunde</v>
      </c>
      <c r="T38" s="14">
        <f t="shared" si="10"/>
        <v>1</v>
      </c>
    </row>
    <row r="39" ht="19.5" hidden="1" customHeight="1">
      <c r="A39" s="15" t="str">
        <f>IF(ASV_Daten!A40="","",ASV_Daten!A40)</f>
        <v>R5B</v>
      </c>
      <c r="B39" s="15" t="str">
        <f>IF(ASV_Daten!B40="","",ASV_Daten!B40)</f>
        <v>Saum</v>
      </c>
      <c r="C39" s="15" t="str">
        <f>IF(ASV_Daten!C40="","",ASV_Daten!C40)</f>
        <v>Noela</v>
      </c>
      <c r="D39" s="15">
        <f>IF(ASV_Daten!D40="","",ASV_Daten!D40)</f>
        <v>2015</v>
      </c>
      <c r="E39" s="15" t="str">
        <f>IF(ASV_Daten!E40="","",ASV_Daten!E40)</f>
        <v>W</v>
      </c>
      <c r="F39" s="16" t="str">
        <f t="shared" si="1"/>
        <v>5</v>
      </c>
      <c r="G39" s="17">
        <f t="shared" si="2"/>
        <v>11</v>
      </c>
      <c r="H39" s="19"/>
      <c r="I39" s="19">
        <f t="shared" si="3"/>
        <v>0</v>
      </c>
      <c r="J39" s="20">
        <v>9.6</v>
      </c>
      <c r="K39" s="19">
        <f t="shared" si="4"/>
        <v>217</v>
      </c>
      <c r="L39" s="20">
        <v>2.81</v>
      </c>
      <c r="M39" s="19">
        <f t="shared" si="5"/>
        <v>280</v>
      </c>
      <c r="N39" s="20">
        <v>16.0</v>
      </c>
      <c r="O39" s="19">
        <f t="shared" si="6"/>
        <v>226</v>
      </c>
      <c r="P39" s="19" t="str">
        <f t="shared" si="7"/>
        <v>Punkte W 5-6</v>
      </c>
      <c r="Q39" s="19" t="str">
        <f t="shared" si="8"/>
        <v>Noten-Matrix-Mädchen</v>
      </c>
      <c r="R39" s="21">
        <f t="shared" si="9"/>
        <v>723</v>
      </c>
      <c r="S39" s="19" t="str">
        <f>IF(R39=0, "Keine Teilnahme", IFERROR(IF(R39&gt;=VLOOKUP(G39&amp;LOWER(E39), Formeln!$H$2:$K$30, 4, FALSE), "Ehrenurkunde", IF(R39&gt;=VLOOKUP(G39&amp;LOWER(E39), Formeln!$H$2:$K$30, 3, FALSE), "Siegerurkunde", "Teilnehmerurkunde")), "Keine Urkunde"))</f>
        <v>Siegerurkunde</v>
      </c>
      <c r="T39" s="22">
        <f t="shared" si="10"/>
        <v>2.6</v>
      </c>
    </row>
    <row r="40" ht="19.5" hidden="1" customHeight="1">
      <c r="A40" s="7" t="str">
        <f>IF(ASV_Daten!A33="","",ASV_Daten!A33)</f>
        <v>R5B</v>
      </c>
      <c r="B40" s="7" t="str">
        <f>IF(ASV_Daten!B33="","",ASV_Daten!B33)</f>
        <v>Hodroj</v>
      </c>
      <c r="C40" s="7" t="str">
        <f>IF(ASV_Daten!C33="","",ASV_Daten!C33)</f>
        <v>Rahiel</v>
      </c>
      <c r="D40" s="7">
        <f>IF(ASV_Daten!D33="","",ASV_Daten!D33)</f>
        <v>2015</v>
      </c>
      <c r="E40" s="7" t="str">
        <f>IF(ASV_Daten!E33="","",ASV_Daten!E33)</f>
        <v>W</v>
      </c>
      <c r="F40" s="8" t="str">
        <f t="shared" si="1"/>
        <v>5</v>
      </c>
      <c r="G40" s="9">
        <f t="shared" si="2"/>
        <v>11</v>
      </c>
      <c r="H40" s="11"/>
      <c r="I40" s="11">
        <f t="shared" si="3"/>
        <v>0</v>
      </c>
      <c r="J40" s="12">
        <v>9.1</v>
      </c>
      <c r="K40" s="11">
        <f t="shared" si="4"/>
        <v>258</v>
      </c>
      <c r="L40" s="12">
        <v>2.77</v>
      </c>
      <c r="M40" s="11">
        <f t="shared" si="5"/>
        <v>274</v>
      </c>
      <c r="N40" s="12">
        <v>14.0</v>
      </c>
      <c r="O40" s="11">
        <f t="shared" si="6"/>
        <v>196</v>
      </c>
      <c r="P40" s="11" t="str">
        <f t="shared" si="7"/>
        <v>Punkte W 5-6</v>
      </c>
      <c r="Q40" s="11" t="str">
        <f t="shared" si="8"/>
        <v>Noten-Matrix-Mädchen</v>
      </c>
      <c r="R40" s="13">
        <f t="shared" si="9"/>
        <v>728</v>
      </c>
      <c r="S40" s="11" t="str">
        <f>IF(R40=0, "Keine Teilnahme", IFERROR(IF(R40&gt;=VLOOKUP(G40&amp;LOWER(E40), Formeln!$H$2:$K$30, 4, FALSE), "Ehrenurkunde", IF(R40&gt;=VLOOKUP(G40&amp;LOWER(E40), Formeln!$H$2:$K$30, 3, FALSE), "Siegerurkunde", "Teilnehmerurkunde")), "Keine Urkunde"))</f>
        <v>Siegerurkunde</v>
      </c>
      <c r="T40" s="14">
        <f t="shared" si="10"/>
        <v>2.6</v>
      </c>
    </row>
    <row r="41" ht="19.5" hidden="1" customHeight="1">
      <c r="A41" s="15" t="str">
        <f>IF(ASV_Daten!A41="","",ASV_Daten!A41)</f>
        <v>R5B</v>
      </c>
      <c r="B41" s="15" t="str">
        <f>IF(ASV_Daten!B41="","",ASV_Daten!B41)</f>
        <v>Schwär</v>
      </c>
      <c r="C41" s="15" t="str">
        <f>IF(ASV_Daten!C41="","",ASV_Daten!C41)</f>
        <v>Sebastian</v>
      </c>
      <c r="D41" s="15">
        <f>IF(ASV_Daten!D41="","",ASV_Daten!D41)</f>
        <v>2015</v>
      </c>
      <c r="E41" s="15" t="str">
        <f>IF(ASV_Daten!E41="","",ASV_Daten!E41)</f>
        <v>M</v>
      </c>
      <c r="F41" s="16" t="str">
        <f t="shared" si="1"/>
        <v>5</v>
      </c>
      <c r="G41" s="17">
        <f t="shared" si="2"/>
        <v>11</v>
      </c>
      <c r="H41" s="18">
        <v>0.15625</v>
      </c>
      <c r="I41" s="19">
        <f t="shared" si="3"/>
        <v>377</v>
      </c>
      <c r="J41" s="19"/>
      <c r="K41" s="19">
        <f t="shared" si="4"/>
        <v>0</v>
      </c>
      <c r="L41" s="20">
        <v>3.17</v>
      </c>
      <c r="M41" s="19">
        <f t="shared" si="5"/>
        <v>287</v>
      </c>
      <c r="N41" s="20">
        <v>24.0</v>
      </c>
      <c r="O41" s="19">
        <f t="shared" si="6"/>
        <v>190</v>
      </c>
      <c r="P41" s="19" t="str">
        <f t="shared" si="7"/>
        <v>Punkte M 5-6</v>
      </c>
      <c r="Q41" s="19" t="str">
        <f t="shared" si="8"/>
        <v>Noten-Matrix-Jungen</v>
      </c>
      <c r="R41" s="21">
        <f t="shared" si="9"/>
        <v>854</v>
      </c>
      <c r="S41" s="19" t="str">
        <f>IF(R41=0, "Keine Teilnahme", IFERROR(IF(R41&gt;=VLOOKUP(G41&amp;LOWER(E41), Formeln!$H$2:$K$30, 4, FALSE), "Ehrenurkunde", IF(R41&gt;=VLOOKUP(G41&amp;LOWER(E41), Formeln!$H$2:$K$30, 3, FALSE), "Siegerurkunde", "Teilnehmerurkunde")), "Keine Urkunde"))</f>
        <v>Siegerurkunde</v>
      </c>
      <c r="T41" s="22">
        <f t="shared" si="10"/>
        <v>1.7</v>
      </c>
    </row>
    <row r="42" ht="19.5" hidden="1" customHeight="1">
      <c r="A42" s="7" t="str">
        <f>IF(ASV_Daten!A30="","",ASV_Daten!A30)</f>
        <v>R5B</v>
      </c>
      <c r="B42" s="7" t="str">
        <f>IF(ASV_Daten!B30="","",ASV_Daten!B30)</f>
        <v>Fischer</v>
      </c>
      <c r="C42" s="7" t="str">
        <f>IF(ASV_Daten!C30="","",ASV_Daten!C30)</f>
        <v>Stefanie</v>
      </c>
      <c r="D42" s="7">
        <f>IF(ASV_Daten!D30="","",ASV_Daten!D30)</f>
        <v>2015</v>
      </c>
      <c r="E42" s="7" t="str">
        <f>IF(ASV_Daten!E30="","",ASV_Daten!E30)</f>
        <v>W</v>
      </c>
      <c r="F42" s="8" t="str">
        <f t="shared" si="1"/>
        <v>5</v>
      </c>
      <c r="G42" s="9">
        <f t="shared" si="2"/>
        <v>11</v>
      </c>
      <c r="H42" s="28">
        <v>0.19375</v>
      </c>
      <c r="I42" s="11">
        <f t="shared" si="3"/>
        <v>130</v>
      </c>
      <c r="J42" s="11"/>
      <c r="K42" s="11">
        <f t="shared" si="4"/>
        <v>0</v>
      </c>
      <c r="L42" s="12">
        <v>2.85</v>
      </c>
      <c r="M42" s="11">
        <f t="shared" si="5"/>
        <v>285</v>
      </c>
      <c r="N42" s="12">
        <v>13.5</v>
      </c>
      <c r="O42" s="11">
        <f t="shared" si="6"/>
        <v>188</v>
      </c>
      <c r="P42" s="11" t="str">
        <f t="shared" si="7"/>
        <v>Punkte W 5-6</v>
      </c>
      <c r="Q42" s="11" t="str">
        <f t="shared" si="8"/>
        <v>Noten-Matrix-Mädchen</v>
      </c>
      <c r="R42" s="13">
        <f t="shared" si="9"/>
        <v>603</v>
      </c>
      <c r="S42" s="11" t="str">
        <f>IF(R42=0, "Keine Teilnahme", IFERROR(IF(R42&gt;=VLOOKUP(G42&amp;LOWER(E42), Formeln!$H$2:$K$30, 4, FALSE), "Ehrenurkunde", IF(R42&gt;=VLOOKUP(G42&amp;LOWER(E42), Formeln!$H$2:$K$30, 3, FALSE), "Siegerurkunde", "Teilnehmerurkunde")), "Keine Urkunde"))</f>
        <v>Teilnehmerurkunde</v>
      </c>
      <c r="T42" s="14">
        <f t="shared" si="10"/>
        <v>3.4</v>
      </c>
    </row>
    <row r="43" ht="19.5" hidden="1" customHeight="1">
      <c r="A43" s="15" t="str">
        <f>IF(ASV_Daten!A39="","",ASV_Daten!A39)</f>
        <v>R5B</v>
      </c>
      <c r="B43" s="15" t="str">
        <f>IF(ASV_Daten!B39="","",ASV_Daten!B39)</f>
        <v>Postaci</v>
      </c>
      <c r="C43" s="15" t="str">
        <f>IF(ASV_Daten!C39="","",ASV_Daten!C39)</f>
        <v>Tuana</v>
      </c>
      <c r="D43" s="15">
        <f>IF(ASV_Daten!D39="","",ASV_Daten!D39)</f>
        <v>2014</v>
      </c>
      <c r="E43" s="15" t="str">
        <f>IF(ASV_Daten!E39="","",ASV_Daten!E39)</f>
        <v>W</v>
      </c>
      <c r="F43" s="16" t="str">
        <f t="shared" si="1"/>
        <v>5</v>
      </c>
      <c r="G43" s="17">
        <f t="shared" si="2"/>
        <v>12</v>
      </c>
      <c r="H43" s="18">
        <v>0.19375</v>
      </c>
      <c r="I43" s="19">
        <f t="shared" si="3"/>
        <v>130</v>
      </c>
      <c r="J43" s="19"/>
      <c r="K43" s="19">
        <f t="shared" si="4"/>
        <v>0</v>
      </c>
      <c r="L43" s="20">
        <v>2.37</v>
      </c>
      <c r="M43" s="19">
        <f t="shared" si="5"/>
        <v>214</v>
      </c>
      <c r="N43" s="20">
        <v>19.5</v>
      </c>
      <c r="O43" s="19">
        <f t="shared" si="6"/>
        <v>273</v>
      </c>
      <c r="P43" s="19" t="str">
        <f t="shared" si="7"/>
        <v>Punkte W 5-6</v>
      </c>
      <c r="Q43" s="19" t="str">
        <f t="shared" si="8"/>
        <v>Noten-Matrix-Mädchen</v>
      </c>
      <c r="R43" s="21">
        <f t="shared" si="9"/>
        <v>617</v>
      </c>
      <c r="S43" s="19" t="str">
        <f>IF(R43=0, "Keine Teilnahme", IFERROR(IF(R43&gt;=VLOOKUP(G43&amp;LOWER(E43), Formeln!$H$2:$K$30, 4, FALSE), "Ehrenurkunde", IF(R43&gt;=VLOOKUP(G43&amp;LOWER(E43), Formeln!$H$2:$K$30, 3, FALSE), "Siegerurkunde", "Teilnehmerurkunde")), "Keine Urkunde"))</f>
        <v>Teilnehmerurkunde</v>
      </c>
      <c r="T43" s="22">
        <f t="shared" si="10"/>
        <v>3.9</v>
      </c>
    </row>
    <row r="44" ht="19.5" hidden="1" customHeight="1">
      <c r="A44" s="7" t="str">
        <f>IF(ASV_Daten!A59="","",ASV_Daten!A59)</f>
        <v>R5C</v>
      </c>
      <c r="B44" s="7" t="str">
        <f>IF(ASV_Daten!B59="","",ASV_Daten!B59)</f>
        <v>Schmidt</v>
      </c>
      <c r="C44" s="7" t="str">
        <f>IF(ASV_Daten!C59="","",ASV_Daten!C59)</f>
        <v>Anton</v>
      </c>
      <c r="D44" s="7">
        <f>IF(ASV_Daten!D59="","",ASV_Daten!D59)</f>
        <v>2015</v>
      </c>
      <c r="E44" s="7" t="str">
        <f>IF(ASV_Daten!E59="","",ASV_Daten!E59)</f>
        <v>M</v>
      </c>
      <c r="F44" s="8" t="str">
        <f t="shared" si="1"/>
        <v>5</v>
      </c>
      <c r="G44" s="9">
        <f t="shared" si="2"/>
        <v>11</v>
      </c>
      <c r="H44" s="11"/>
      <c r="I44" s="11">
        <f t="shared" si="3"/>
        <v>0</v>
      </c>
      <c r="J44" s="12">
        <v>7.8</v>
      </c>
      <c r="K44" s="11">
        <f t="shared" si="4"/>
        <v>352</v>
      </c>
      <c r="L44" s="12">
        <v>3.57</v>
      </c>
      <c r="M44" s="11">
        <f t="shared" si="5"/>
        <v>337</v>
      </c>
      <c r="N44" s="12">
        <v>27.0</v>
      </c>
      <c r="O44" s="11">
        <f t="shared" si="6"/>
        <v>217</v>
      </c>
      <c r="P44" s="11" t="str">
        <f t="shared" si="7"/>
        <v>Punkte M 5-6</v>
      </c>
      <c r="Q44" s="11" t="str">
        <f t="shared" si="8"/>
        <v>Noten-Matrix-Jungen</v>
      </c>
      <c r="R44" s="13">
        <f t="shared" si="9"/>
        <v>906</v>
      </c>
      <c r="S44" s="11" t="str">
        <f>IF(R44=0, "Keine Teilnahme", IFERROR(IF(R44&gt;=VLOOKUP(G44&amp;LOWER(E44), Formeln!$H$2:$K$30, 4, FALSE), "Ehrenurkunde", IF(R44&gt;=VLOOKUP(G44&amp;LOWER(E44), Formeln!$H$2:$K$30, 3, FALSE), "Siegerurkunde", "Teilnehmerurkunde")), "Keine Urkunde"))</f>
        <v>Ehrenurkunde</v>
      </c>
      <c r="T44" s="14">
        <f t="shared" si="10"/>
        <v>1.4</v>
      </c>
    </row>
    <row r="45" ht="19.5" hidden="1" customHeight="1">
      <c r="A45" s="15" t="str">
        <f>IF(ASV_Daten!A66="","",ASV_Daten!A66)</f>
        <v>R5C</v>
      </c>
      <c r="B45" s="15" t="str">
        <f>IF(ASV_Daten!B66="","",ASV_Daten!B66)</f>
        <v>Vogelbacher</v>
      </c>
      <c r="C45" s="15" t="str">
        <f>IF(ASV_Daten!C66="","",ASV_Daten!C66)</f>
        <v>Bruno</v>
      </c>
      <c r="D45" s="15">
        <f>IF(ASV_Daten!D66="","",ASV_Daten!D66)</f>
        <v>2015</v>
      </c>
      <c r="E45" s="15" t="str">
        <f>IF(ASV_Daten!E66="","",ASV_Daten!E66)</f>
        <v>M</v>
      </c>
      <c r="F45" s="16" t="str">
        <f t="shared" si="1"/>
        <v>5</v>
      </c>
      <c r="G45" s="17">
        <f t="shared" si="2"/>
        <v>11</v>
      </c>
      <c r="H45" s="19"/>
      <c r="I45" s="19">
        <f t="shared" si="3"/>
        <v>0</v>
      </c>
      <c r="J45" s="20">
        <v>9.6</v>
      </c>
      <c r="K45" s="19">
        <f t="shared" si="4"/>
        <v>187</v>
      </c>
      <c r="L45" s="20">
        <v>2.61</v>
      </c>
      <c r="M45" s="19">
        <f t="shared" si="5"/>
        <v>212</v>
      </c>
      <c r="N45" s="20">
        <v>22.5</v>
      </c>
      <c r="O45" s="19">
        <f t="shared" si="6"/>
        <v>176</v>
      </c>
      <c r="P45" s="19" t="str">
        <f t="shared" si="7"/>
        <v>Punkte M 5-6</v>
      </c>
      <c r="Q45" s="19" t="str">
        <f t="shared" si="8"/>
        <v>Noten-Matrix-Jungen</v>
      </c>
      <c r="R45" s="21">
        <f t="shared" si="9"/>
        <v>575</v>
      </c>
      <c r="S45" s="19" t="str">
        <f>IF(R45=0, "Keine Teilnahme", IFERROR(IF(R45&gt;=VLOOKUP(G45&amp;LOWER(E45), Formeln!$H$2:$K$30, 4, FALSE), "Ehrenurkunde", IF(R45&gt;=VLOOKUP(G45&amp;LOWER(E45), Formeln!$H$2:$K$30, 3, FALSE), "Siegerurkunde", "Teilnehmerurkunde")), "Keine Urkunde"))</f>
        <v>Teilnehmerurkunde</v>
      </c>
      <c r="T45" s="22">
        <f t="shared" si="10"/>
        <v>3.4</v>
      </c>
    </row>
    <row r="46" ht="19.5" hidden="1" customHeight="1">
      <c r="A46" s="7" t="str">
        <f>IF(ASV_Daten!A53="","",ASV_Daten!A53)</f>
        <v>R5C</v>
      </c>
      <c r="B46" s="7" t="str">
        <f>IF(ASV_Daten!B53="","",ASV_Daten!B53)</f>
        <v>Knöpfle</v>
      </c>
      <c r="C46" s="7" t="str">
        <f>IF(ASV_Daten!C53="","",ASV_Daten!C53)</f>
        <v>David</v>
      </c>
      <c r="D46" s="7">
        <f>IF(ASV_Daten!D53="","",ASV_Daten!D53)</f>
        <v>2014</v>
      </c>
      <c r="E46" s="7" t="str">
        <f>IF(ASV_Daten!E53="","",ASV_Daten!E53)</f>
        <v>M</v>
      </c>
      <c r="F46" s="8" t="str">
        <f t="shared" si="1"/>
        <v>5</v>
      </c>
      <c r="G46" s="9">
        <f t="shared" si="2"/>
        <v>12</v>
      </c>
      <c r="H46" s="27"/>
      <c r="I46" s="11">
        <f t="shared" si="3"/>
        <v>0</v>
      </c>
      <c r="J46" s="12">
        <v>8.6</v>
      </c>
      <c r="K46" s="11">
        <f t="shared" si="4"/>
        <v>270</v>
      </c>
      <c r="L46" s="12">
        <v>3.81</v>
      </c>
      <c r="M46" s="11">
        <f t="shared" si="5"/>
        <v>366</v>
      </c>
      <c r="N46" s="12">
        <v>24.0</v>
      </c>
      <c r="O46" s="11">
        <f t="shared" si="6"/>
        <v>190</v>
      </c>
      <c r="P46" s="11" t="str">
        <f t="shared" si="7"/>
        <v>Punkte M 5-6</v>
      </c>
      <c r="Q46" s="11" t="str">
        <f t="shared" si="8"/>
        <v>Noten-Matrix-Jungen</v>
      </c>
      <c r="R46" s="13">
        <f t="shared" si="9"/>
        <v>826</v>
      </c>
      <c r="S46" s="11" t="str">
        <f>IF(R46=0, "Keine Teilnahme", IFERROR(IF(R46&gt;=VLOOKUP(G46&amp;LOWER(E46), Formeln!$H$2:$K$30, 4, FALSE), "Ehrenurkunde", IF(R46&gt;=VLOOKUP(G46&amp;LOWER(E46), Formeln!$H$2:$K$30, 3, FALSE), "Siegerurkunde", "Teilnehmerurkunde")), "Keine Urkunde"))</f>
        <v>Siegerurkunde</v>
      </c>
      <c r="T46" s="14">
        <f t="shared" si="10"/>
        <v>2.3</v>
      </c>
    </row>
    <row r="47" ht="19.5" hidden="1" customHeight="1">
      <c r="A47" s="15" t="str">
        <f>IF(ASV_Daten!A45="","",ASV_Daten!A45)</f>
        <v>R5C</v>
      </c>
      <c r="B47" s="15" t="str">
        <f>IF(ASV_Daten!B45="","",ASV_Daten!B45)</f>
        <v>Baum</v>
      </c>
      <c r="C47" s="15" t="str">
        <f>IF(ASV_Daten!C45="","",ASV_Daten!C45)</f>
        <v>Davina</v>
      </c>
      <c r="D47" s="15">
        <f>IF(ASV_Daten!D45="","",ASV_Daten!D45)</f>
        <v>2015</v>
      </c>
      <c r="E47" s="15" t="str">
        <f>IF(ASV_Daten!E45="","",ASV_Daten!E45)</f>
        <v>W</v>
      </c>
      <c r="F47" s="16" t="str">
        <f t="shared" si="1"/>
        <v>5</v>
      </c>
      <c r="G47" s="17">
        <f t="shared" si="2"/>
        <v>11</v>
      </c>
      <c r="H47" s="19"/>
      <c r="I47" s="19">
        <f t="shared" si="3"/>
        <v>0</v>
      </c>
      <c r="J47" s="20">
        <v>9.1</v>
      </c>
      <c r="K47" s="19">
        <f t="shared" si="4"/>
        <v>258</v>
      </c>
      <c r="L47" s="20">
        <v>3.09</v>
      </c>
      <c r="M47" s="19">
        <f t="shared" si="5"/>
        <v>319</v>
      </c>
      <c r="N47" s="20">
        <v>15.0</v>
      </c>
      <c r="O47" s="19">
        <f t="shared" si="6"/>
        <v>211</v>
      </c>
      <c r="P47" s="19" t="str">
        <f t="shared" si="7"/>
        <v>Punkte W 5-6</v>
      </c>
      <c r="Q47" s="19" t="str">
        <f t="shared" si="8"/>
        <v>Noten-Matrix-Mädchen</v>
      </c>
      <c r="R47" s="21">
        <f t="shared" si="9"/>
        <v>788</v>
      </c>
      <c r="S47" s="19" t="str">
        <f>IF(R47=0, "Keine Teilnahme", IFERROR(IF(R47&gt;=VLOOKUP(G47&amp;LOWER(E47), Formeln!$H$2:$K$30, 4, FALSE), "Ehrenurkunde", IF(R47&gt;=VLOOKUP(G47&amp;LOWER(E47), Formeln!$H$2:$K$30, 3, FALSE), "Siegerurkunde", "Teilnehmerurkunde")), "Keine Urkunde"))</f>
        <v>Siegerurkunde</v>
      </c>
      <c r="T47" s="22">
        <f t="shared" si="10"/>
        <v>2.2</v>
      </c>
    </row>
    <row r="48" ht="19.5" hidden="1" customHeight="1">
      <c r="A48" s="7" t="str">
        <f>IF(ASV_Daten!A48="","",ASV_Daten!A48)</f>
        <v>R5C</v>
      </c>
      <c r="B48" s="7" t="str">
        <f>IF(ASV_Daten!B48="","",ASV_Daten!B48)</f>
        <v>Böhm</v>
      </c>
      <c r="C48" s="7" t="str">
        <f>IF(ASV_Daten!C48="","",ASV_Daten!C48)</f>
        <v>Denny</v>
      </c>
      <c r="D48" s="7">
        <f>IF(ASV_Daten!D48="","",ASV_Daten!D48)</f>
        <v>2014</v>
      </c>
      <c r="E48" s="7" t="str">
        <f>IF(ASV_Daten!E48="","",ASV_Daten!E48)</f>
        <v>M</v>
      </c>
      <c r="F48" s="8" t="str">
        <f t="shared" si="1"/>
        <v>5</v>
      </c>
      <c r="G48" s="9">
        <f t="shared" si="2"/>
        <v>12</v>
      </c>
      <c r="H48" s="27"/>
      <c r="I48" s="11">
        <f t="shared" si="3"/>
        <v>0</v>
      </c>
      <c r="J48" s="12">
        <v>9.0</v>
      </c>
      <c r="K48" s="11">
        <f t="shared" si="4"/>
        <v>234</v>
      </c>
      <c r="L48" s="12">
        <v>2.69</v>
      </c>
      <c r="M48" s="11">
        <f t="shared" si="5"/>
        <v>223</v>
      </c>
      <c r="N48" s="12">
        <v>16.0</v>
      </c>
      <c r="O48" s="11">
        <f t="shared" si="6"/>
        <v>109</v>
      </c>
      <c r="P48" s="11" t="str">
        <f t="shared" si="7"/>
        <v>Punkte M 5-6</v>
      </c>
      <c r="Q48" s="11" t="str">
        <f t="shared" si="8"/>
        <v>Noten-Matrix-Jungen</v>
      </c>
      <c r="R48" s="13">
        <f t="shared" si="9"/>
        <v>566</v>
      </c>
      <c r="S48" s="11" t="str">
        <f>IF(R48=0, "Keine Teilnahme", IFERROR(IF(R48&gt;=VLOOKUP(G48&amp;LOWER(E48), Formeln!$H$2:$K$30, 4, FALSE), "Ehrenurkunde", IF(R48&gt;=VLOOKUP(G48&amp;LOWER(E48), Formeln!$H$2:$K$30, 3, FALSE), "Siegerurkunde", "Teilnehmerurkunde")), "Keine Urkunde"))</f>
        <v>Teilnehmerurkunde</v>
      </c>
      <c r="T48" s="14">
        <f t="shared" si="10"/>
        <v>4.2</v>
      </c>
    </row>
    <row r="49" ht="19.5" hidden="1" customHeight="1">
      <c r="A49" s="15" t="str">
        <f>IF(ASV_Daten!A51="","",ASV_Daten!A51)</f>
        <v>R5C</v>
      </c>
      <c r="B49" s="15" t="str">
        <f>IF(ASV_Daten!B51="","",ASV_Daten!B51)</f>
        <v>Kleiser</v>
      </c>
      <c r="C49" s="15" t="str">
        <f>IF(ASV_Daten!C51="","",ASV_Daten!C51)</f>
        <v>Elisa</v>
      </c>
      <c r="D49" s="15">
        <f>IF(ASV_Daten!D51="","",ASV_Daten!D51)</f>
        <v>2014</v>
      </c>
      <c r="E49" s="15" t="str">
        <f>IF(ASV_Daten!E51="","",ASV_Daten!E51)</f>
        <v>W</v>
      </c>
      <c r="F49" s="16" t="str">
        <f t="shared" si="1"/>
        <v>5</v>
      </c>
      <c r="G49" s="17">
        <f t="shared" si="2"/>
        <v>12</v>
      </c>
      <c r="H49" s="19"/>
      <c r="I49" s="19">
        <f t="shared" si="3"/>
        <v>0</v>
      </c>
      <c r="J49" s="20">
        <v>8.8</v>
      </c>
      <c r="K49" s="19">
        <f t="shared" si="4"/>
        <v>285</v>
      </c>
      <c r="L49" s="20">
        <v>2.97</v>
      </c>
      <c r="M49" s="19">
        <f t="shared" si="5"/>
        <v>302</v>
      </c>
      <c r="N49" s="20">
        <v>20.5</v>
      </c>
      <c r="O49" s="19">
        <f t="shared" si="6"/>
        <v>286</v>
      </c>
      <c r="P49" s="19" t="str">
        <f t="shared" si="7"/>
        <v>Punkte W 5-6</v>
      </c>
      <c r="Q49" s="19" t="str">
        <f t="shared" si="8"/>
        <v>Noten-Matrix-Mädchen</v>
      </c>
      <c r="R49" s="21">
        <f t="shared" si="9"/>
        <v>873</v>
      </c>
      <c r="S49" s="19" t="str">
        <f>IF(R49=0, "Keine Teilnahme", IFERROR(IF(R49&gt;=VLOOKUP(G49&amp;LOWER(E49), Formeln!$H$2:$K$30, 4, FALSE), "Ehrenurkunde", IF(R49&gt;=VLOOKUP(G49&amp;LOWER(E49), Formeln!$H$2:$K$30, 3, FALSE), "Siegerurkunde", "Teilnehmerurkunde")), "Keine Urkunde"))</f>
        <v>Siegerurkunde</v>
      </c>
      <c r="T49" s="22">
        <f t="shared" si="10"/>
        <v>2.1</v>
      </c>
    </row>
    <row r="50" ht="19.5" hidden="1" customHeight="1">
      <c r="A50" s="7" t="str">
        <f>IF(ASV_Daten!A44="","",ASV_Daten!A44)</f>
        <v>R5C</v>
      </c>
      <c r="B50" s="7" t="str">
        <f>IF(ASV_Daten!B44="","",ASV_Daten!B44)</f>
        <v>Augustin</v>
      </c>
      <c r="C50" s="7" t="str">
        <f>IF(ASV_Daten!C44="","",ASV_Daten!C44)</f>
        <v>Emely</v>
      </c>
      <c r="D50" s="7">
        <f>IF(ASV_Daten!D44="","",ASV_Daten!D44)</f>
        <v>2014</v>
      </c>
      <c r="E50" s="7" t="str">
        <f>IF(ASV_Daten!E44="","",ASV_Daten!E44)</f>
        <v>W</v>
      </c>
      <c r="F50" s="8" t="str">
        <f t="shared" si="1"/>
        <v>5</v>
      </c>
      <c r="G50" s="9">
        <f t="shared" si="2"/>
        <v>12</v>
      </c>
      <c r="H50" s="11"/>
      <c r="I50" s="11">
        <f t="shared" si="3"/>
        <v>0</v>
      </c>
      <c r="J50" s="12">
        <v>10.3</v>
      </c>
      <c r="K50" s="11">
        <f t="shared" si="4"/>
        <v>166</v>
      </c>
      <c r="L50" s="12">
        <v>2.37</v>
      </c>
      <c r="M50" s="11">
        <f t="shared" si="5"/>
        <v>214</v>
      </c>
      <c r="N50" s="12">
        <v>11.5</v>
      </c>
      <c r="O50" s="11">
        <f t="shared" si="6"/>
        <v>156</v>
      </c>
      <c r="P50" s="11" t="str">
        <f t="shared" si="7"/>
        <v>Punkte W 5-6</v>
      </c>
      <c r="Q50" s="11" t="str">
        <f t="shared" si="8"/>
        <v>Noten-Matrix-Mädchen</v>
      </c>
      <c r="R50" s="13">
        <f t="shared" si="9"/>
        <v>536</v>
      </c>
      <c r="S50" s="11" t="str">
        <f>IF(R50=0, "Keine Teilnahme", IFERROR(IF(R50&gt;=VLOOKUP(G50&amp;LOWER(E50), Formeln!$H$2:$K$30, 4, FALSE), "Ehrenurkunde", IF(R50&gt;=VLOOKUP(G50&amp;LOWER(E50), Formeln!$H$2:$K$30, 3, FALSE), "Siegerurkunde", "Teilnehmerurkunde")), "Keine Urkunde"))</f>
        <v>Teilnehmerurkunde</v>
      </c>
      <c r="T50" s="14" t="str">
        <f t="shared" si="10"/>
        <v>NOTE</v>
      </c>
    </row>
    <row r="51" ht="19.5" hidden="1" customHeight="1">
      <c r="A51" s="15" t="str">
        <f>IF(ASV_Daten!A46="","",ASV_Daten!A46)</f>
        <v>R5C</v>
      </c>
      <c r="B51" s="15" t="str">
        <f>IF(ASV_Daten!B46="","",ASV_Daten!B46)</f>
        <v>Benz</v>
      </c>
      <c r="C51" s="15" t="str">
        <f>IF(ASV_Daten!C46="","",ASV_Daten!C46)</f>
        <v>Felix</v>
      </c>
      <c r="D51" s="15">
        <f>IF(ASV_Daten!D46="","",ASV_Daten!D46)</f>
        <v>2014</v>
      </c>
      <c r="E51" s="15" t="str">
        <f>IF(ASV_Daten!E46="","",ASV_Daten!E46)</f>
        <v>M</v>
      </c>
      <c r="F51" s="16" t="str">
        <f t="shared" si="1"/>
        <v>5</v>
      </c>
      <c r="G51" s="17">
        <f t="shared" si="2"/>
        <v>12</v>
      </c>
      <c r="H51" s="19"/>
      <c r="I51" s="19">
        <f t="shared" si="3"/>
        <v>0</v>
      </c>
      <c r="J51" s="20">
        <v>8.2</v>
      </c>
      <c r="K51" s="19">
        <f t="shared" si="4"/>
        <v>309</v>
      </c>
      <c r="L51" s="20">
        <v>3.57</v>
      </c>
      <c r="M51" s="19">
        <f t="shared" si="5"/>
        <v>337</v>
      </c>
      <c r="N51" s="20">
        <v>26.0</v>
      </c>
      <c r="O51" s="19">
        <f t="shared" si="6"/>
        <v>209</v>
      </c>
      <c r="P51" s="19" t="str">
        <f t="shared" si="7"/>
        <v>Punkte M 5-6</v>
      </c>
      <c r="Q51" s="19" t="str">
        <f t="shared" si="8"/>
        <v>Noten-Matrix-Jungen</v>
      </c>
      <c r="R51" s="21">
        <f t="shared" si="9"/>
        <v>855</v>
      </c>
      <c r="S51" s="19" t="str">
        <f>IF(R51=0, "Keine Teilnahme", IFERROR(IF(R51&gt;=VLOOKUP(G51&amp;LOWER(E51), Formeln!$H$2:$K$30, 4, FALSE), "Ehrenurkunde", IF(R51&gt;=VLOOKUP(G51&amp;LOWER(E51), Formeln!$H$2:$K$30, 3, FALSE), "Siegerurkunde", "Teilnehmerurkunde")), "Keine Urkunde"))</f>
        <v>Siegerurkunde</v>
      </c>
      <c r="T51" s="22">
        <f t="shared" si="10"/>
        <v>2.2</v>
      </c>
    </row>
    <row r="52" ht="19.5" hidden="1" customHeight="1">
      <c r="A52" s="7" t="str">
        <f>IF(ASV_Daten!A50="","",ASV_Daten!A50)</f>
        <v>R5C</v>
      </c>
      <c r="B52" s="7" t="str">
        <f>IF(ASV_Daten!B50="","",ASV_Daten!B50)</f>
        <v>Jarusch</v>
      </c>
      <c r="C52" s="7" t="str">
        <f>IF(ASV_Daten!C50="","",ASV_Daten!C50)</f>
        <v>Gabriel</v>
      </c>
      <c r="D52" s="7">
        <f>IF(ASV_Daten!D50="","",ASV_Daten!D50)</f>
        <v>2015</v>
      </c>
      <c r="E52" s="7" t="str">
        <f>IF(ASV_Daten!E50="","",ASV_Daten!E50)</f>
        <v>M</v>
      </c>
      <c r="F52" s="8" t="str">
        <f t="shared" si="1"/>
        <v>5</v>
      </c>
      <c r="G52" s="9">
        <f t="shared" si="2"/>
        <v>11</v>
      </c>
      <c r="H52" s="11"/>
      <c r="I52" s="11">
        <f t="shared" si="3"/>
        <v>0</v>
      </c>
      <c r="J52" s="12">
        <v>8.1</v>
      </c>
      <c r="K52" s="11">
        <f t="shared" si="4"/>
        <v>319</v>
      </c>
      <c r="L52" s="12">
        <v>3.21</v>
      </c>
      <c r="M52" s="11">
        <f t="shared" si="5"/>
        <v>292</v>
      </c>
      <c r="N52" s="12">
        <v>25.0</v>
      </c>
      <c r="O52" s="11">
        <f t="shared" si="6"/>
        <v>200</v>
      </c>
      <c r="P52" s="11" t="str">
        <f t="shared" si="7"/>
        <v>Punkte M 5-6</v>
      </c>
      <c r="Q52" s="11" t="str">
        <f t="shared" si="8"/>
        <v>Noten-Matrix-Jungen</v>
      </c>
      <c r="R52" s="13">
        <f t="shared" si="9"/>
        <v>811</v>
      </c>
      <c r="S52" s="11" t="str">
        <f>IF(R52=0, "Keine Teilnahme", IFERROR(IF(R52&gt;=VLOOKUP(G52&amp;LOWER(E52), Formeln!$H$2:$K$30, 4, FALSE), "Ehrenurkunde", IF(R52&gt;=VLOOKUP(G52&amp;LOWER(E52), Formeln!$H$2:$K$30, 3, FALSE), "Siegerurkunde", "Teilnehmerurkunde")), "Keine Urkunde"))</f>
        <v>Siegerurkunde</v>
      </c>
      <c r="T52" s="14">
        <f t="shared" si="10"/>
        <v>1.9</v>
      </c>
    </row>
    <row r="53" ht="19.5" hidden="1" customHeight="1">
      <c r="A53" s="15" t="str">
        <f>IF(ASV_Daten!A60="","",ASV_Daten!A60)</f>
        <v>R5C</v>
      </c>
      <c r="B53" s="15" t="str">
        <f>IF(ASV_Daten!B60="","",ASV_Daten!B60)</f>
        <v>Schwab</v>
      </c>
      <c r="C53" s="15" t="str">
        <f>IF(ASV_Daten!C60="","",ASV_Daten!C60)</f>
        <v>Joshua</v>
      </c>
      <c r="D53" s="15">
        <f>IF(ASV_Daten!D60="","",ASV_Daten!D60)</f>
        <v>2014</v>
      </c>
      <c r="E53" s="15" t="str">
        <f>IF(ASV_Daten!E60="","",ASV_Daten!E60)</f>
        <v>M</v>
      </c>
      <c r="F53" s="16" t="str">
        <f t="shared" si="1"/>
        <v>5</v>
      </c>
      <c r="G53" s="17">
        <f t="shared" si="2"/>
        <v>12</v>
      </c>
      <c r="H53" s="19"/>
      <c r="I53" s="19">
        <f t="shared" si="3"/>
        <v>0</v>
      </c>
      <c r="J53" s="20">
        <v>9.2</v>
      </c>
      <c r="K53" s="19">
        <f t="shared" si="4"/>
        <v>218</v>
      </c>
      <c r="L53" s="20">
        <v>2.81</v>
      </c>
      <c r="M53" s="19">
        <f t="shared" si="5"/>
        <v>240</v>
      </c>
      <c r="N53" s="20">
        <v>18.5</v>
      </c>
      <c r="O53" s="19">
        <f t="shared" si="6"/>
        <v>136</v>
      </c>
      <c r="P53" s="19" t="str">
        <f t="shared" si="7"/>
        <v>Punkte M 5-6</v>
      </c>
      <c r="Q53" s="19" t="str">
        <f t="shared" si="8"/>
        <v>Noten-Matrix-Jungen</v>
      </c>
      <c r="R53" s="21">
        <f t="shared" si="9"/>
        <v>594</v>
      </c>
      <c r="S53" s="19" t="str">
        <f>IF(R53=0, "Keine Teilnahme", IFERROR(IF(R53&gt;=VLOOKUP(G53&amp;LOWER(E53), Formeln!$H$2:$K$30, 4, FALSE), "Ehrenurkunde", IF(R53&gt;=VLOOKUP(G53&amp;LOWER(E53), Formeln!$H$2:$K$30, 3, FALSE), "Siegerurkunde", "Teilnehmerurkunde")), "Keine Urkunde"))</f>
        <v>Teilnehmerurkunde</v>
      </c>
      <c r="T53" s="22">
        <f t="shared" si="10"/>
        <v>3.9</v>
      </c>
    </row>
    <row r="54" ht="19.5" hidden="1" customHeight="1">
      <c r="A54" s="7" t="str">
        <f>IF(ASV_Daten!A49="","",ASV_Daten!A49)</f>
        <v>R5C</v>
      </c>
      <c r="B54" s="7" t="str">
        <f>IF(ASV_Daten!B49="","",ASV_Daten!B49)</f>
        <v>Hämmerle</v>
      </c>
      <c r="C54" s="7" t="str">
        <f>IF(ASV_Daten!C49="","",ASV_Daten!C49)</f>
        <v>Julian</v>
      </c>
      <c r="D54" s="7">
        <f>IF(ASV_Daten!D49="","",ASV_Daten!D49)</f>
        <v>2014</v>
      </c>
      <c r="E54" s="7" t="str">
        <f>IF(ASV_Daten!E49="","",ASV_Daten!E49)</f>
        <v>M</v>
      </c>
      <c r="F54" s="8" t="str">
        <f t="shared" si="1"/>
        <v>5</v>
      </c>
      <c r="G54" s="9">
        <f t="shared" si="2"/>
        <v>12</v>
      </c>
      <c r="H54" s="11"/>
      <c r="I54" s="11">
        <f t="shared" si="3"/>
        <v>0</v>
      </c>
      <c r="J54" s="12">
        <v>9.9</v>
      </c>
      <c r="K54" s="11">
        <f t="shared" si="4"/>
        <v>165</v>
      </c>
      <c r="L54" s="12">
        <v>2.61</v>
      </c>
      <c r="M54" s="11">
        <f t="shared" si="5"/>
        <v>212</v>
      </c>
      <c r="N54" s="12">
        <v>22.5</v>
      </c>
      <c r="O54" s="11">
        <f t="shared" si="6"/>
        <v>176</v>
      </c>
      <c r="P54" s="11" t="str">
        <f t="shared" si="7"/>
        <v>Punkte M 5-6</v>
      </c>
      <c r="Q54" s="11" t="str">
        <f t="shared" si="8"/>
        <v>Noten-Matrix-Jungen</v>
      </c>
      <c r="R54" s="13">
        <f t="shared" si="9"/>
        <v>553</v>
      </c>
      <c r="S54" s="11" t="str">
        <f>IF(R54=0, "Keine Teilnahme", IFERROR(IF(R54&gt;=VLOOKUP(G54&amp;LOWER(E54), Formeln!$H$2:$K$30, 4, FALSE), "Ehrenurkunde", IF(R54&gt;=VLOOKUP(G54&amp;LOWER(E54), Formeln!$H$2:$K$30, 3, FALSE), "Siegerurkunde", "Teilnehmerurkunde")), "Keine Urkunde"))</f>
        <v>Teilnehmerurkunde</v>
      </c>
      <c r="T54" s="14">
        <f t="shared" si="10"/>
        <v>4.3</v>
      </c>
    </row>
    <row r="55" ht="19.5" hidden="1" customHeight="1">
      <c r="A55" s="15" t="str">
        <f>IF(ASV_Daten!A63="","",ASV_Daten!A63)</f>
        <v>R5C</v>
      </c>
      <c r="B55" s="15" t="str">
        <f>IF(ASV_Daten!B63="","",ASV_Daten!B63)</f>
        <v>Skoda</v>
      </c>
      <c r="C55" s="15" t="str">
        <f>IF(ASV_Daten!C63="","",ASV_Daten!C63)</f>
        <v>Luca</v>
      </c>
      <c r="D55" s="15">
        <f>IF(ASV_Daten!D63="","",ASV_Daten!D63)</f>
        <v>2014</v>
      </c>
      <c r="E55" s="15" t="str">
        <f>IF(ASV_Daten!E63="","",ASV_Daten!E63)</f>
        <v>M</v>
      </c>
      <c r="F55" s="16" t="str">
        <f t="shared" si="1"/>
        <v>5</v>
      </c>
      <c r="G55" s="17">
        <f t="shared" si="2"/>
        <v>12</v>
      </c>
      <c r="H55" s="19"/>
      <c r="I55" s="19">
        <f t="shared" si="3"/>
        <v>0</v>
      </c>
      <c r="J55" s="20">
        <v>8.4</v>
      </c>
      <c r="K55" s="19">
        <f t="shared" si="4"/>
        <v>289</v>
      </c>
      <c r="L55" s="20">
        <v>3.29</v>
      </c>
      <c r="M55" s="19">
        <f t="shared" si="5"/>
        <v>302</v>
      </c>
      <c r="N55" s="20">
        <v>22.0</v>
      </c>
      <c r="O55" s="19">
        <f t="shared" si="6"/>
        <v>171</v>
      </c>
      <c r="P55" s="19" t="str">
        <f t="shared" si="7"/>
        <v>Punkte M 5-6</v>
      </c>
      <c r="Q55" s="19" t="str">
        <f t="shared" si="8"/>
        <v>Noten-Matrix-Jungen</v>
      </c>
      <c r="R55" s="21">
        <f t="shared" si="9"/>
        <v>762</v>
      </c>
      <c r="S55" s="19" t="str">
        <f>IF(R55=0, "Keine Teilnahme", IFERROR(IF(R55&gt;=VLOOKUP(G55&amp;LOWER(E55), Formeln!$H$2:$K$30, 4, FALSE), "Ehrenurkunde", IF(R55&gt;=VLOOKUP(G55&amp;LOWER(E55), Formeln!$H$2:$K$30, 3, FALSE), "Siegerurkunde", "Teilnehmerurkunde")), "Keine Urkunde"))</f>
        <v>Siegerurkunde</v>
      </c>
      <c r="T55" s="22">
        <f t="shared" si="10"/>
        <v>2.7</v>
      </c>
    </row>
    <row r="56" ht="19.5" hidden="1" customHeight="1">
      <c r="A56" s="7" t="str">
        <f>IF(ASV_Daten!A55="","",ASV_Daten!A55)</f>
        <v>R5C</v>
      </c>
      <c r="B56" s="7" t="str">
        <f>IF(ASV_Daten!B55="","",ASV_Daten!B55)</f>
        <v>Lungoiu</v>
      </c>
      <c r="C56" s="7" t="str">
        <f>IF(ASV_Daten!C55="","",ASV_Daten!C55)</f>
        <v>Lukas</v>
      </c>
      <c r="D56" s="7">
        <f>IF(ASV_Daten!D55="","",ASV_Daten!D55)</f>
        <v>2015</v>
      </c>
      <c r="E56" s="7" t="str">
        <f>IF(ASV_Daten!E55="","",ASV_Daten!E55)</f>
        <v>M</v>
      </c>
      <c r="F56" s="8" t="str">
        <f t="shared" si="1"/>
        <v>5</v>
      </c>
      <c r="G56" s="9">
        <f t="shared" si="2"/>
        <v>11</v>
      </c>
      <c r="H56" s="11"/>
      <c r="I56" s="11">
        <f t="shared" si="3"/>
        <v>0</v>
      </c>
      <c r="J56" s="12">
        <v>8.6</v>
      </c>
      <c r="K56" s="11">
        <f t="shared" si="4"/>
        <v>270</v>
      </c>
      <c r="L56" s="12">
        <v>3.61</v>
      </c>
      <c r="M56" s="11">
        <f t="shared" si="5"/>
        <v>342</v>
      </c>
      <c r="N56" s="12">
        <v>26.5</v>
      </c>
      <c r="O56" s="11">
        <f t="shared" si="6"/>
        <v>213</v>
      </c>
      <c r="P56" s="11" t="str">
        <f t="shared" si="7"/>
        <v>Punkte M 5-6</v>
      </c>
      <c r="Q56" s="11" t="str">
        <f t="shared" si="8"/>
        <v>Noten-Matrix-Jungen</v>
      </c>
      <c r="R56" s="13">
        <f t="shared" si="9"/>
        <v>825</v>
      </c>
      <c r="S56" s="11" t="str">
        <f>IF(R56=0, "Keine Teilnahme", IFERROR(IF(R56&gt;=VLOOKUP(G56&amp;LOWER(E56), Formeln!$H$2:$K$30, 4, FALSE), "Ehrenurkunde", IF(R56&gt;=VLOOKUP(G56&amp;LOWER(E56), Formeln!$H$2:$K$30, 3, FALSE), "Siegerurkunde", "Teilnehmerurkunde")), "Keine Urkunde"))</f>
        <v>Siegerurkunde</v>
      </c>
      <c r="T56" s="14">
        <f t="shared" si="10"/>
        <v>1.8</v>
      </c>
    </row>
    <row r="57" ht="19.5" hidden="1" customHeight="1">
      <c r="A57" s="15" t="str">
        <f>IF(ASV_Daten!A64="","",ASV_Daten!A64)</f>
        <v>R5C</v>
      </c>
      <c r="B57" s="15" t="str">
        <f>IF(ASV_Daten!B64="","",ASV_Daten!B64)</f>
        <v>Stenianskyi</v>
      </c>
      <c r="C57" s="15" t="str">
        <f>IF(ASV_Daten!C64="","",ASV_Daten!C64)</f>
        <v>Maksym</v>
      </c>
      <c r="D57" s="15">
        <f>IF(ASV_Daten!D64="","",ASV_Daten!D64)</f>
        <v>2014</v>
      </c>
      <c r="E57" s="15" t="str">
        <f>IF(ASV_Daten!E64="","",ASV_Daten!E64)</f>
        <v>M</v>
      </c>
      <c r="F57" s="16" t="str">
        <f t="shared" si="1"/>
        <v>5</v>
      </c>
      <c r="G57" s="17">
        <f t="shared" si="2"/>
        <v>12</v>
      </c>
      <c r="H57" s="19"/>
      <c r="I57" s="19">
        <f t="shared" si="3"/>
        <v>0</v>
      </c>
      <c r="J57" s="20">
        <v>7.7</v>
      </c>
      <c r="K57" s="19">
        <f t="shared" si="4"/>
        <v>363</v>
      </c>
      <c r="L57" s="20">
        <v>3.29</v>
      </c>
      <c r="M57" s="19">
        <f t="shared" si="5"/>
        <v>302</v>
      </c>
      <c r="N57" s="20">
        <v>27.5</v>
      </c>
      <c r="O57" s="19">
        <f t="shared" si="6"/>
        <v>222</v>
      </c>
      <c r="P57" s="19" t="str">
        <f t="shared" si="7"/>
        <v>Punkte M 5-6</v>
      </c>
      <c r="Q57" s="19" t="str">
        <f t="shared" si="8"/>
        <v>Noten-Matrix-Jungen</v>
      </c>
      <c r="R57" s="21">
        <f t="shared" si="9"/>
        <v>887</v>
      </c>
      <c r="S57" s="19" t="str">
        <f>IF(R57=0, "Keine Teilnahme", IFERROR(IF(R57&gt;=VLOOKUP(G57&amp;LOWER(E57), Formeln!$H$2:$K$30, 4, FALSE), "Ehrenurkunde", IF(R57&gt;=VLOOKUP(G57&amp;LOWER(E57), Formeln!$H$2:$K$30, 3, FALSE), "Siegerurkunde", "Teilnehmerurkunde")), "Keine Urkunde"))</f>
        <v>Siegerurkunde</v>
      </c>
      <c r="T57" s="22">
        <f t="shared" si="10"/>
        <v>2</v>
      </c>
    </row>
    <row r="58" ht="19.5" hidden="1" customHeight="1">
      <c r="A58" s="7" t="str">
        <f>IF(ASV_Daten!A54="","",ASV_Daten!A54)</f>
        <v>R5C</v>
      </c>
      <c r="B58" s="7" t="str">
        <f>IF(ASV_Daten!B54="","",ASV_Daten!B54)</f>
        <v>Löffler</v>
      </c>
      <c r="C58" s="7" t="str">
        <f>IF(ASV_Daten!C54="","",ASV_Daten!C54)</f>
        <v>Marla</v>
      </c>
      <c r="D58" s="7">
        <f>IF(ASV_Daten!D54="","",ASV_Daten!D54)</f>
        <v>2015</v>
      </c>
      <c r="E58" s="7" t="str">
        <f>IF(ASV_Daten!E54="","",ASV_Daten!E54)</f>
        <v>W</v>
      </c>
      <c r="F58" s="8" t="str">
        <f t="shared" si="1"/>
        <v>5</v>
      </c>
      <c r="G58" s="9">
        <f t="shared" si="2"/>
        <v>11</v>
      </c>
      <c r="H58" s="11"/>
      <c r="I58" s="11">
        <f t="shared" si="3"/>
        <v>0</v>
      </c>
      <c r="J58" s="12">
        <v>9.6</v>
      </c>
      <c r="K58" s="11">
        <f t="shared" si="4"/>
        <v>217</v>
      </c>
      <c r="L58" s="12">
        <v>2.57</v>
      </c>
      <c r="M58" s="11">
        <f t="shared" si="5"/>
        <v>245</v>
      </c>
      <c r="N58" s="12">
        <v>18.0</v>
      </c>
      <c r="O58" s="11">
        <f t="shared" si="6"/>
        <v>253</v>
      </c>
      <c r="P58" s="11" t="str">
        <f t="shared" si="7"/>
        <v>Punkte W 5-6</v>
      </c>
      <c r="Q58" s="11" t="str">
        <f t="shared" si="8"/>
        <v>Noten-Matrix-Mädchen</v>
      </c>
      <c r="R58" s="13">
        <f t="shared" si="9"/>
        <v>715</v>
      </c>
      <c r="S58" s="11" t="str">
        <f>IF(R58=0, "Keine Teilnahme", IFERROR(IF(R58&gt;=VLOOKUP(G58&amp;LOWER(E58), Formeln!$H$2:$K$30, 4, FALSE), "Ehrenurkunde", IF(R58&gt;=VLOOKUP(G58&amp;LOWER(E58), Formeln!$H$2:$K$30, 3, FALSE), "Siegerurkunde", "Teilnehmerurkunde")), "Keine Urkunde"))</f>
        <v>Siegerurkunde</v>
      </c>
      <c r="T58" s="14">
        <f t="shared" si="10"/>
        <v>2.6</v>
      </c>
    </row>
    <row r="59" ht="19.5" hidden="1" customHeight="1">
      <c r="A59" s="15" t="str">
        <f>IF(ASV_Daten!A68="","",ASV_Daten!A68)</f>
        <v>R5C</v>
      </c>
      <c r="B59" s="15" t="str">
        <f>IF(ASV_Daten!B68="","",ASV_Daten!B68)</f>
        <v>Zipfel</v>
      </c>
      <c r="C59" s="15" t="str">
        <f>IF(ASV_Daten!C68="","",ASV_Daten!C68)</f>
        <v>Marleen</v>
      </c>
      <c r="D59" s="15">
        <f>IF(ASV_Daten!D68="","",ASV_Daten!D68)</f>
        <v>2014</v>
      </c>
      <c r="E59" s="15" t="str">
        <f>IF(ASV_Daten!E68="","",ASV_Daten!E68)</f>
        <v>W</v>
      </c>
      <c r="F59" s="16" t="str">
        <f t="shared" si="1"/>
        <v>5</v>
      </c>
      <c r="G59" s="17">
        <f t="shared" si="2"/>
        <v>12</v>
      </c>
      <c r="H59" s="19"/>
      <c r="I59" s="19">
        <f t="shared" si="3"/>
        <v>0</v>
      </c>
      <c r="J59" s="19"/>
      <c r="K59" s="19">
        <f t="shared" si="4"/>
        <v>0</v>
      </c>
      <c r="L59" s="19"/>
      <c r="M59" s="19">
        <f t="shared" si="5"/>
        <v>0</v>
      </c>
      <c r="N59" s="19"/>
      <c r="O59" s="19">
        <f t="shared" si="6"/>
        <v>0</v>
      </c>
      <c r="P59" s="19" t="str">
        <f t="shared" si="7"/>
        <v>Punkte W 5-6</v>
      </c>
      <c r="Q59" s="19" t="str">
        <f t="shared" si="8"/>
        <v>Noten-Matrix-Mädchen</v>
      </c>
      <c r="R59" s="21">
        <f t="shared" si="9"/>
        <v>0</v>
      </c>
      <c r="S59" s="19" t="str">
        <f>IF(R59=0, "Keine Teilnahme", IFERROR(IF(R59&gt;=VLOOKUP(G59&amp;LOWER(E59), Formeln!$H$2:$K$30, 4, FALSE), "Ehrenurkunde", IF(R59&gt;=VLOOKUP(G59&amp;LOWER(E59), Formeln!$H$2:$K$30, 3, FALSE), "Siegerurkunde", "Teilnehmerurkunde")), "Keine Urkunde"))</f>
        <v>Keine Teilnahme</v>
      </c>
      <c r="T59" s="22" t="str">
        <f t="shared" si="10"/>
        <v>Keine Teilnahme</v>
      </c>
    </row>
    <row r="60" ht="19.5" hidden="1" customHeight="1">
      <c r="A60" s="7" t="str">
        <f>IF(ASV_Daten!A56="","",ASV_Daten!A56)</f>
        <v>R5C</v>
      </c>
      <c r="B60" s="7" t="str">
        <f>IF(ASV_Daten!B56="","",ASV_Daten!B56)</f>
        <v>Ochwat</v>
      </c>
      <c r="C60" s="7" t="str">
        <f>IF(ASV_Daten!C56="","",ASV_Daten!C56)</f>
        <v>Marvin</v>
      </c>
      <c r="D60" s="7">
        <f>IF(ASV_Daten!D56="","",ASV_Daten!D56)</f>
        <v>2015</v>
      </c>
      <c r="E60" s="7" t="str">
        <f>IF(ASV_Daten!E56="","",ASV_Daten!E56)</f>
        <v>M</v>
      </c>
      <c r="F60" s="8" t="str">
        <f t="shared" si="1"/>
        <v>5</v>
      </c>
      <c r="G60" s="9">
        <f t="shared" si="2"/>
        <v>11</v>
      </c>
      <c r="H60" s="27"/>
      <c r="I60" s="11">
        <f t="shared" si="3"/>
        <v>0</v>
      </c>
      <c r="J60" s="11"/>
      <c r="K60" s="11">
        <f t="shared" si="4"/>
        <v>0</v>
      </c>
      <c r="L60" s="12">
        <v>1.49</v>
      </c>
      <c r="M60" s="11">
        <f t="shared" si="5"/>
        <v>32</v>
      </c>
      <c r="N60" s="12">
        <v>13.5</v>
      </c>
      <c r="O60" s="11">
        <f t="shared" si="6"/>
        <v>79</v>
      </c>
      <c r="P60" s="11" t="str">
        <f t="shared" si="7"/>
        <v>Punkte M 5-6</v>
      </c>
      <c r="Q60" s="11" t="str">
        <f t="shared" si="8"/>
        <v>Noten-Matrix-Jungen</v>
      </c>
      <c r="R60" s="13">
        <f t="shared" si="9"/>
        <v>111</v>
      </c>
      <c r="S60" s="11" t="str">
        <f>IF(R60=0, "Keine Teilnahme", IFERROR(IF(R60&gt;=VLOOKUP(G60&amp;LOWER(E60), Formeln!$H$2:$K$30, 4, FALSE), "Ehrenurkunde", IF(R60&gt;=VLOOKUP(G60&amp;LOWER(E60), Formeln!$H$2:$K$30, 3, FALSE), "Siegerurkunde", "Teilnehmerurkunde")), "Keine Urkunde"))</f>
        <v>Teilnehmerurkunde</v>
      </c>
      <c r="T60" s="14" t="str">
        <f t="shared" si="10"/>
        <v>NOTE</v>
      </c>
    </row>
    <row r="61" ht="19.5" hidden="1" customHeight="1">
      <c r="A61" s="15" t="str">
        <f>IF(ASV_Daten!A65="","",ASV_Daten!A65)</f>
        <v>R5C</v>
      </c>
      <c r="B61" s="15" t="str">
        <f>IF(ASV_Daten!B65="","",ASV_Daten!B65)</f>
        <v>Tkalec</v>
      </c>
      <c r="C61" s="15" t="str">
        <f>IF(ASV_Daten!C65="","",ASV_Daten!C65)</f>
        <v>Matea</v>
      </c>
      <c r="D61" s="15">
        <f>IF(ASV_Daten!D65="","",ASV_Daten!D65)</f>
        <v>2014</v>
      </c>
      <c r="E61" s="15" t="str">
        <f>IF(ASV_Daten!E65="","",ASV_Daten!E65)</f>
        <v>W</v>
      </c>
      <c r="F61" s="16" t="str">
        <f t="shared" si="1"/>
        <v>5</v>
      </c>
      <c r="G61" s="17">
        <f t="shared" si="2"/>
        <v>12</v>
      </c>
      <c r="H61" s="19"/>
      <c r="I61" s="19">
        <f t="shared" si="3"/>
        <v>0</v>
      </c>
      <c r="J61" s="20">
        <v>9.1</v>
      </c>
      <c r="K61" s="19">
        <f t="shared" si="4"/>
        <v>258</v>
      </c>
      <c r="L61" s="20">
        <v>2.29</v>
      </c>
      <c r="M61" s="19">
        <f t="shared" si="5"/>
        <v>201</v>
      </c>
      <c r="N61" s="20">
        <v>14.5</v>
      </c>
      <c r="O61" s="19">
        <f t="shared" si="6"/>
        <v>204</v>
      </c>
      <c r="P61" s="19" t="str">
        <f t="shared" si="7"/>
        <v>Punkte W 5-6</v>
      </c>
      <c r="Q61" s="19" t="str">
        <f t="shared" si="8"/>
        <v>Noten-Matrix-Mädchen</v>
      </c>
      <c r="R61" s="21">
        <f t="shared" si="9"/>
        <v>663</v>
      </c>
      <c r="S61" s="19" t="str">
        <f>IF(R61=0, "Keine Teilnahme", IFERROR(IF(R61&gt;=VLOOKUP(G61&amp;LOWER(E61), Formeln!$H$2:$K$30, 4, FALSE), "Ehrenurkunde", IF(R61&gt;=VLOOKUP(G61&amp;LOWER(E61), Formeln!$H$2:$K$30, 3, FALSE), "Siegerurkunde", "Teilnehmerurkunde")), "Keine Urkunde"))</f>
        <v>Teilnehmerurkunde</v>
      </c>
      <c r="T61" s="22">
        <f t="shared" si="10"/>
        <v>3.5</v>
      </c>
    </row>
    <row r="62" ht="19.5" hidden="1" customHeight="1">
      <c r="A62" s="7" t="str">
        <f>IF(ASV_Daten!A52="","",ASV_Daten!A52)</f>
        <v>R5C</v>
      </c>
      <c r="B62" s="7" t="str">
        <f>IF(ASV_Daten!B52="","",ASV_Daten!B52)</f>
        <v>Kling</v>
      </c>
      <c r="C62" s="7" t="str">
        <f>IF(ASV_Daten!C52="","",ASV_Daten!C52)</f>
        <v>Maxim</v>
      </c>
      <c r="D62" s="7">
        <f>IF(ASV_Daten!D52="","",ASV_Daten!D52)</f>
        <v>2015</v>
      </c>
      <c r="E62" s="7" t="str">
        <f>IF(ASV_Daten!E52="","",ASV_Daten!E52)</f>
        <v>M</v>
      </c>
      <c r="F62" s="8" t="str">
        <f t="shared" si="1"/>
        <v>5</v>
      </c>
      <c r="G62" s="9">
        <f t="shared" si="2"/>
        <v>11</v>
      </c>
      <c r="H62" s="11"/>
      <c r="I62" s="11">
        <f t="shared" si="3"/>
        <v>0</v>
      </c>
      <c r="J62" s="12">
        <v>8.2</v>
      </c>
      <c r="K62" s="11">
        <f t="shared" si="4"/>
        <v>309</v>
      </c>
      <c r="L62" s="12">
        <v>3.81</v>
      </c>
      <c r="M62" s="11">
        <f t="shared" si="5"/>
        <v>366</v>
      </c>
      <c r="N62" s="12">
        <v>25.5</v>
      </c>
      <c r="O62" s="11">
        <f t="shared" si="6"/>
        <v>204</v>
      </c>
      <c r="P62" s="11" t="str">
        <f t="shared" si="7"/>
        <v>Punkte M 5-6</v>
      </c>
      <c r="Q62" s="11" t="str">
        <f t="shared" si="8"/>
        <v>Noten-Matrix-Jungen</v>
      </c>
      <c r="R62" s="13">
        <f t="shared" si="9"/>
        <v>879</v>
      </c>
      <c r="S62" s="11" t="str">
        <f>IF(R62=0, "Keine Teilnahme", IFERROR(IF(R62&gt;=VLOOKUP(G62&amp;LOWER(E62), Formeln!$H$2:$K$30, 4, FALSE), "Ehrenurkunde", IF(R62&gt;=VLOOKUP(G62&amp;LOWER(E62), Formeln!$H$2:$K$30, 3, FALSE), "Siegerurkunde", "Teilnehmerurkunde")), "Keine Urkunde"))</f>
        <v>Siegerurkunde</v>
      </c>
      <c r="T62" s="14">
        <f t="shared" si="10"/>
        <v>1.5</v>
      </c>
    </row>
    <row r="63" ht="19.5" hidden="1" customHeight="1">
      <c r="A63" s="15" t="str">
        <f>IF(ASV_Daten!A58="","",ASV_Daten!A58)</f>
        <v>R5C</v>
      </c>
      <c r="B63" s="15" t="str">
        <f>IF(ASV_Daten!B58="","",ASV_Daten!B58)</f>
        <v>Petrovic</v>
      </c>
      <c r="C63" s="15" t="str">
        <f>IF(ASV_Daten!C58="","",ASV_Daten!C58)</f>
        <v>Mia</v>
      </c>
      <c r="D63" s="15">
        <f>IF(ASV_Daten!D58="","",ASV_Daten!D58)</f>
        <v>2014</v>
      </c>
      <c r="E63" s="15" t="str">
        <f>IF(ASV_Daten!E58="","",ASV_Daten!E58)</f>
        <v>W</v>
      </c>
      <c r="F63" s="16" t="str">
        <f t="shared" si="1"/>
        <v>5</v>
      </c>
      <c r="G63" s="17">
        <f t="shared" si="2"/>
        <v>12</v>
      </c>
      <c r="H63" s="19"/>
      <c r="I63" s="19">
        <f t="shared" si="3"/>
        <v>0</v>
      </c>
      <c r="J63" s="20">
        <v>9.7</v>
      </c>
      <c r="K63" s="19">
        <f t="shared" si="4"/>
        <v>209</v>
      </c>
      <c r="L63" s="20">
        <v>2.09</v>
      </c>
      <c r="M63" s="19">
        <f t="shared" si="5"/>
        <v>169</v>
      </c>
      <c r="N63" s="20">
        <v>12.5</v>
      </c>
      <c r="O63" s="19">
        <f t="shared" si="6"/>
        <v>173</v>
      </c>
      <c r="P63" s="19" t="str">
        <f t="shared" si="7"/>
        <v>Punkte W 5-6</v>
      </c>
      <c r="Q63" s="19" t="str">
        <f t="shared" si="8"/>
        <v>Noten-Matrix-Mädchen</v>
      </c>
      <c r="R63" s="21">
        <f t="shared" si="9"/>
        <v>551</v>
      </c>
      <c r="S63" s="19" t="str">
        <f>IF(R63=0, "Keine Teilnahme", IFERROR(IF(R63&gt;=VLOOKUP(G63&amp;LOWER(E63), Formeln!$H$2:$K$30, 4, FALSE), "Ehrenurkunde", IF(R63&gt;=VLOOKUP(G63&amp;LOWER(E63), Formeln!$H$2:$K$30, 3, FALSE), "Siegerurkunde", "Teilnehmerurkunde")), "Keine Urkunde"))</f>
        <v>Teilnehmerurkunde</v>
      </c>
      <c r="T63" s="22" t="str">
        <f t="shared" si="10"/>
        <v>NOTE</v>
      </c>
    </row>
    <row r="64" ht="19.5" hidden="1" customHeight="1">
      <c r="A64" s="7" t="str">
        <f>IF(ASV_Daten!A58="","",ASV_Daten!A58)</f>
        <v>R5C</v>
      </c>
      <c r="B64" s="7" t="str">
        <f>IF(ASV_Daten!B58="","",ASV_Daten!B58)</f>
        <v>Petrovic</v>
      </c>
      <c r="C64" s="7" t="str">
        <f>IF(ASV_Daten!C58="","",ASV_Daten!C58)</f>
        <v>Mia</v>
      </c>
      <c r="D64" s="7">
        <f>IF(ASV_Daten!D58="","",ASV_Daten!D58)</f>
        <v>2014</v>
      </c>
      <c r="E64" s="7" t="str">
        <f>IF(ASV_Daten!E58="","",ASV_Daten!E58)</f>
        <v>W</v>
      </c>
      <c r="F64" s="8" t="str">
        <f t="shared" si="1"/>
        <v>5</v>
      </c>
      <c r="G64" s="9">
        <f t="shared" si="2"/>
        <v>12</v>
      </c>
      <c r="H64" s="11"/>
      <c r="I64" s="11">
        <f t="shared" si="3"/>
        <v>0</v>
      </c>
      <c r="J64" s="11"/>
      <c r="K64" s="11">
        <f t="shared" si="4"/>
        <v>0</v>
      </c>
      <c r="L64" s="11"/>
      <c r="M64" s="11">
        <f t="shared" si="5"/>
        <v>0</v>
      </c>
      <c r="N64" s="11"/>
      <c r="O64" s="11">
        <f t="shared" si="6"/>
        <v>0</v>
      </c>
      <c r="P64" s="11" t="str">
        <f t="shared" si="7"/>
        <v>Punkte W 5-6</v>
      </c>
      <c r="Q64" s="11" t="str">
        <f t="shared" si="8"/>
        <v>Noten-Matrix-Mädchen</v>
      </c>
      <c r="R64" s="13">
        <f t="shared" si="9"/>
        <v>0</v>
      </c>
      <c r="S64" s="11" t="str">
        <f>IF(R64=0, "Keine Teilnahme", IFERROR(IF(R64&gt;=VLOOKUP(G64&amp;LOWER(E64), Formeln!$H$2:$K$30, 4, FALSE), "Ehrenurkunde", IF(R64&gt;=VLOOKUP(G64&amp;LOWER(E64), Formeln!$H$2:$K$30, 3, FALSE), "Siegerurkunde", "Teilnehmerurkunde")), "Keine Urkunde"))</f>
        <v>Keine Teilnahme</v>
      </c>
      <c r="T64" s="14" t="str">
        <f t="shared" si="10"/>
        <v>Keine Teilnahme</v>
      </c>
    </row>
    <row r="65" ht="19.5" hidden="1" customHeight="1">
      <c r="A65" s="15" t="str">
        <f>IF(ASV_Daten!A62="","",ASV_Daten!A62)</f>
        <v>R5C</v>
      </c>
      <c r="B65" s="15" t="str">
        <f>IF(ASV_Daten!B62="","",ASV_Daten!B62)</f>
        <v>Silic</v>
      </c>
      <c r="C65" s="15" t="str">
        <f>IF(ASV_Daten!C62="","",ASV_Daten!C62)</f>
        <v>Nia</v>
      </c>
      <c r="D65" s="15">
        <f>IF(ASV_Daten!D62="","",ASV_Daten!D62)</f>
        <v>2015</v>
      </c>
      <c r="E65" s="15" t="str">
        <f>IF(ASV_Daten!E62="","",ASV_Daten!E62)</f>
        <v>W</v>
      </c>
      <c r="F65" s="16" t="str">
        <f t="shared" si="1"/>
        <v>5</v>
      </c>
      <c r="G65" s="17">
        <f t="shared" si="2"/>
        <v>11</v>
      </c>
      <c r="H65" s="19"/>
      <c r="I65" s="19">
        <f t="shared" si="3"/>
        <v>0</v>
      </c>
      <c r="J65" s="20">
        <v>8.9</v>
      </c>
      <c r="K65" s="19">
        <f t="shared" si="4"/>
        <v>276</v>
      </c>
      <c r="L65" s="20">
        <v>3.05</v>
      </c>
      <c r="M65" s="19">
        <f t="shared" si="5"/>
        <v>313</v>
      </c>
      <c r="N65" s="20">
        <v>11.5</v>
      </c>
      <c r="O65" s="19">
        <f t="shared" si="6"/>
        <v>156</v>
      </c>
      <c r="P65" s="19" t="str">
        <f t="shared" si="7"/>
        <v>Punkte W 5-6</v>
      </c>
      <c r="Q65" s="19" t="str">
        <f t="shared" si="8"/>
        <v>Noten-Matrix-Mädchen</v>
      </c>
      <c r="R65" s="21">
        <f t="shared" si="9"/>
        <v>745</v>
      </c>
      <c r="S65" s="19" t="str">
        <f>IF(R65=0, "Keine Teilnahme", IFERROR(IF(R65&gt;=VLOOKUP(G65&amp;LOWER(E65), Formeln!$H$2:$K$30, 4, FALSE), "Ehrenurkunde", IF(R65&gt;=VLOOKUP(G65&amp;LOWER(E65), Formeln!$H$2:$K$30, 3, FALSE), "Siegerurkunde", "Teilnehmerurkunde")), "Keine Urkunde"))</f>
        <v>Siegerurkunde</v>
      </c>
      <c r="T65" s="22">
        <f t="shared" si="10"/>
        <v>2.4</v>
      </c>
    </row>
    <row r="66" ht="19.5" hidden="1" customHeight="1">
      <c r="A66" s="7" t="str">
        <f>IF(ASV_Daten!A47="","",ASV_Daten!A47)</f>
        <v>R5C</v>
      </c>
      <c r="B66" s="7" t="str">
        <f>IF(ASV_Daten!B47="","",ASV_Daten!B47)</f>
        <v>Benz</v>
      </c>
      <c r="C66" s="7" t="str">
        <f>IF(ASV_Daten!C47="","",ASV_Daten!C47)</f>
        <v>Niklas</v>
      </c>
      <c r="D66" s="7">
        <f>IF(ASV_Daten!D47="","",ASV_Daten!D47)</f>
        <v>2014</v>
      </c>
      <c r="E66" s="7" t="str">
        <f>IF(ASV_Daten!E47="","",ASV_Daten!E47)</f>
        <v>M</v>
      </c>
      <c r="F66" s="8" t="str">
        <f t="shared" si="1"/>
        <v>5</v>
      </c>
      <c r="G66" s="9">
        <f t="shared" si="2"/>
        <v>12</v>
      </c>
      <c r="H66" s="11"/>
      <c r="I66" s="11">
        <f t="shared" si="3"/>
        <v>0</v>
      </c>
      <c r="J66" s="12">
        <v>8.7</v>
      </c>
      <c r="K66" s="11">
        <f t="shared" si="4"/>
        <v>261</v>
      </c>
      <c r="L66" s="12">
        <v>3.25</v>
      </c>
      <c r="M66" s="11">
        <f t="shared" si="5"/>
        <v>297</v>
      </c>
      <c r="N66" s="12">
        <v>28.0</v>
      </c>
      <c r="O66" s="11">
        <f t="shared" si="6"/>
        <v>226</v>
      </c>
      <c r="P66" s="11" t="str">
        <f t="shared" si="7"/>
        <v>Punkte M 5-6</v>
      </c>
      <c r="Q66" s="11" t="str">
        <f t="shared" si="8"/>
        <v>Noten-Matrix-Jungen</v>
      </c>
      <c r="R66" s="13">
        <f t="shared" si="9"/>
        <v>784</v>
      </c>
      <c r="S66" s="11" t="str">
        <f>IF(R66=0, "Keine Teilnahme", IFERROR(IF(R66&gt;=VLOOKUP(G66&amp;LOWER(E66), Formeln!$H$2:$K$30, 4, FALSE), "Ehrenurkunde", IF(R66&gt;=VLOOKUP(G66&amp;LOWER(E66), Formeln!$H$2:$K$30, 3, FALSE), "Siegerurkunde", "Teilnehmerurkunde")), "Keine Urkunde"))</f>
        <v>Siegerurkunde</v>
      </c>
      <c r="T66" s="14">
        <f t="shared" si="10"/>
        <v>2.6</v>
      </c>
    </row>
    <row r="67" ht="19.5" hidden="1" customHeight="1">
      <c r="A67" s="15" t="str">
        <f>IF(ASV_Daten!A67="","",ASV_Daten!A67)</f>
        <v>R5C</v>
      </c>
      <c r="B67" s="15" t="str">
        <f>IF(ASV_Daten!B67="","",ASV_Daten!B67)</f>
        <v>Winterhalder</v>
      </c>
      <c r="C67" s="15" t="str">
        <f>IF(ASV_Daten!C67="","",ASV_Daten!C67)</f>
        <v>Paula</v>
      </c>
      <c r="D67" s="15">
        <f>IF(ASV_Daten!D67="","",ASV_Daten!D67)</f>
        <v>2015</v>
      </c>
      <c r="E67" s="15" t="str">
        <f>IF(ASV_Daten!E67="","",ASV_Daten!E67)</f>
        <v>W</v>
      </c>
      <c r="F67" s="16" t="str">
        <f t="shared" si="1"/>
        <v>5</v>
      </c>
      <c r="G67" s="17">
        <f t="shared" si="2"/>
        <v>11</v>
      </c>
      <c r="H67" s="25"/>
      <c r="I67" s="19">
        <f t="shared" si="3"/>
        <v>0</v>
      </c>
      <c r="J67" s="20">
        <v>8.7</v>
      </c>
      <c r="K67" s="19">
        <f t="shared" si="4"/>
        <v>294</v>
      </c>
      <c r="L67" s="20">
        <v>3.29</v>
      </c>
      <c r="M67" s="19">
        <f t="shared" si="5"/>
        <v>346</v>
      </c>
      <c r="N67" s="20">
        <v>14.0</v>
      </c>
      <c r="O67" s="19">
        <f t="shared" si="6"/>
        <v>196</v>
      </c>
      <c r="P67" s="19" t="str">
        <f t="shared" si="7"/>
        <v>Punkte W 5-6</v>
      </c>
      <c r="Q67" s="19" t="str">
        <f t="shared" si="8"/>
        <v>Noten-Matrix-Mädchen</v>
      </c>
      <c r="R67" s="21">
        <f t="shared" si="9"/>
        <v>836</v>
      </c>
      <c r="S67" s="19" t="str">
        <f>IF(R67=0, "Keine Teilnahme", IFERROR(IF(R67&gt;=VLOOKUP(G67&amp;LOWER(E67), Formeln!$H$2:$K$30, 4, FALSE), "Ehrenurkunde", IF(R67&gt;=VLOOKUP(G67&amp;LOWER(E67), Formeln!$H$2:$K$30, 3, FALSE), "Siegerurkunde", "Teilnehmerurkunde")), "Keine Urkunde"))</f>
        <v>Siegerurkunde</v>
      </c>
      <c r="T67" s="22">
        <f t="shared" si="10"/>
        <v>1.9</v>
      </c>
    </row>
    <row r="68" ht="19.5" hidden="1" customHeight="1">
      <c r="A68" s="7" t="str">
        <f>IF(ASV_Daten!A57="","",ASV_Daten!A57)</f>
        <v>R5C</v>
      </c>
      <c r="B68" s="7" t="str">
        <f>IF(ASV_Daten!B57="","",ASV_Daten!B57)</f>
        <v>Ojebo</v>
      </c>
      <c r="C68" s="7" t="str">
        <f>IF(ASV_Daten!C57="","",ASV_Daten!C57)</f>
        <v>Rebecca</v>
      </c>
      <c r="D68" s="7">
        <f>IF(ASV_Daten!D57="","",ASV_Daten!D57)</f>
        <v>2014</v>
      </c>
      <c r="E68" s="7" t="str">
        <f>IF(ASV_Daten!E57="","",ASV_Daten!E57)</f>
        <v>W</v>
      </c>
      <c r="F68" s="8" t="str">
        <f t="shared" si="1"/>
        <v>5</v>
      </c>
      <c r="G68" s="9">
        <f t="shared" si="2"/>
        <v>12</v>
      </c>
      <c r="H68" s="27"/>
      <c r="I68" s="11">
        <f t="shared" si="3"/>
        <v>0</v>
      </c>
      <c r="J68" s="11"/>
      <c r="K68" s="11">
        <f t="shared" si="4"/>
        <v>0</v>
      </c>
      <c r="L68" s="12">
        <v>1.69</v>
      </c>
      <c r="M68" s="11">
        <f t="shared" si="5"/>
        <v>99</v>
      </c>
      <c r="N68" s="12">
        <v>16.0</v>
      </c>
      <c r="O68" s="11">
        <f t="shared" si="6"/>
        <v>226</v>
      </c>
      <c r="P68" s="11" t="str">
        <f t="shared" si="7"/>
        <v>Punkte W 5-6</v>
      </c>
      <c r="Q68" s="11" t="str">
        <f t="shared" si="8"/>
        <v>Noten-Matrix-Mädchen</v>
      </c>
      <c r="R68" s="13">
        <f t="shared" si="9"/>
        <v>325</v>
      </c>
      <c r="S68" s="11" t="str">
        <f>IF(R68=0, "Keine Teilnahme", IFERROR(IF(R68&gt;=VLOOKUP(G68&amp;LOWER(E68), Formeln!$H$2:$K$30, 4, FALSE), "Ehrenurkunde", IF(R68&gt;=VLOOKUP(G68&amp;LOWER(E68), Formeln!$H$2:$K$30, 3, FALSE), "Siegerurkunde", "Teilnehmerurkunde")), "Keine Urkunde"))</f>
        <v>Teilnehmerurkunde</v>
      </c>
      <c r="T68" s="14" t="str">
        <f t="shared" si="10"/>
        <v>NOTE</v>
      </c>
    </row>
    <row r="69" ht="19.5" hidden="1" customHeight="1">
      <c r="A69" s="15" t="str">
        <f>IF(ASV_Daten!A61="","",ASV_Daten!A61)</f>
        <v>R5C</v>
      </c>
      <c r="B69" s="15" t="str">
        <f>IF(ASV_Daten!B61="","",ASV_Daten!B61)</f>
        <v>Siedlarz</v>
      </c>
      <c r="C69" s="15" t="str">
        <f>IF(ASV_Daten!C61="","",ASV_Daten!C61)</f>
        <v>Sami</v>
      </c>
      <c r="D69" s="15">
        <f>IF(ASV_Daten!D61="","",ASV_Daten!D61)</f>
        <v>2015</v>
      </c>
      <c r="E69" s="15" t="str">
        <f>IF(ASV_Daten!E61="","",ASV_Daten!E61)</f>
        <v>M</v>
      </c>
      <c r="F69" s="16" t="str">
        <f t="shared" si="1"/>
        <v>5</v>
      </c>
      <c r="G69" s="17">
        <f t="shared" si="2"/>
        <v>11</v>
      </c>
      <c r="H69" s="19"/>
      <c r="I69" s="19">
        <f t="shared" si="3"/>
        <v>0</v>
      </c>
      <c r="J69" s="20">
        <v>8.3</v>
      </c>
      <c r="K69" s="19">
        <f t="shared" si="4"/>
        <v>299</v>
      </c>
      <c r="L69" s="19"/>
      <c r="M69" s="19">
        <f t="shared" si="5"/>
        <v>0</v>
      </c>
      <c r="N69" s="19"/>
      <c r="O69" s="19">
        <f t="shared" si="6"/>
        <v>0</v>
      </c>
      <c r="P69" s="19" t="str">
        <f t="shared" si="7"/>
        <v>Punkte M 5-6</v>
      </c>
      <c r="Q69" s="19" t="str">
        <f t="shared" si="8"/>
        <v>Noten-Matrix-Jungen</v>
      </c>
      <c r="R69" s="21">
        <f t="shared" si="9"/>
        <v>299</v>
      </c>
      <c r="S69" s="19" t="str">
        <f>IF(R69=0, "Keine Teilnahme", IFERROR(IF(R69&gt;=VLOOKUP(G69&amp;LOWER(E69), Formeln!$H$2:$K$30, 4, FALSE), "Ehrenurkunde", IF(R69&gt;=VLOOKUP(G69&amp;LOWER(E69), Formeln!$H$2:$K$30, 3, FALSE), "Siegerurkunde", "Teilnehmerurkunde")), "Keine Urkunde"))</f>
        <v>Teilnehmerurkunde</v>
      </c>
      <c r="T69" s="22" t="str">
        <f t="shared" si="10"/>
        <v>NOTE</v>
      </c>
    </row>
    <row r="70" ht="19.5" hidden="1" customHeight="1">
      <c r="A70" s="7" t="str">
        <f>IF(ASV_Daten!A86="","",ASV_Daten!A86)</f>
        <v>R6A</v>
      </c>
      <c r="B70" s="7" t="str">
        <f>IF(ASV_Daten!B86="","",ASV_Daten!B86)</f>
        <v>Kakpe</v>
      </c>
      <c r="C70" s="7" t="str">
        <f>IF(ASV_Daten!C86="","",ASV_Daten!C86)</f>
        <v>Aboubacar</v>
      </c>
      <c r="D70" s="7">
        <f>IF(ASV_Daten!D86="","",ASV_Daten!D86)</f>
        <v>2014</v>
      </c>
      <c r="E70" s="7" t="str">
        <f>IF(ASV_Daten!E86="","",ASV_Daten!E86)</f>
        <v>M</v>
      </c>
      <c r="F70" s="8" t="str">
        <f t="shared" si="1"/>
        <v>6</v>
      </c>
      <c r="G70" s="9">
        <f t="shared" si="2"/>
        <v>12</v>
      </c>
      <c r="H70" s="10">
        <v>0.17777777777777778</v>
      </c>
      <c r="I70" s="11">
        <f t="shared" si="3"/>
        <v>291</v>
      </c>
      <c r="J70" s="11"/>
      <c r="K70" s="11">
        <f t="shared" si="4"/>
        <v>0</v>
      </c>
      <c r="L70" s="12">
        <v>4.37</v>
      </c>
      <c r="M70" s="11">
        <f t="shared" si="5"/>
        <v>429</v>
      </c>
      <c r="N70" s="12">
        <v>38.0</v>
      </c>
      <c r="O70" s="11">
        <f t="shared" si="6"/>
        <v>305</v>
      </c>
      <c r="P70" s="11" t="str">
        <f t="shared" si="7"/>
        <v>Punkte M 5-6</v>
      </c>
      <c r="Q70" s="11" t="str">
        <f t="shared" si="8"/>
        <v>Noten-Matrix-Jungen</v>
      </c>
      <c r="R70" s="13">
        <f t="shared" si="9"/>
        <v>1025</v>
      </c>
      <c r="S70" s="11" t="str">
        <f>IF(R70=0, "Keine Teilnahme", IFERROR(IF(R70&gt;=VLOOKUP(G70&amp;LOWER(E70), Formeln!$H$2:$K$30, 4, FALSE), "Ehrenurkunde", IF(R70&gt;=VLOOKUP(G70&amp;LOWER(E70), Formeln!$H$2:$K$30, 3, FALSE), "Siegerurkunde", "Teilnehmerurkunde")), "Keine Urkunde"))</f>
        <v>Ehrenurkunde</v>
      </c>
      <c r="T70" s="14">
        <f t="shared" si="10"/>
        <v>1.3</v>
      </c>
    </row>
    <row r="71" ht="19.5" hidden="1" customHeight="1">
      <c r="A71" s="15" t="str">
        <f>IF(ASV_Daten!A74="","",ASV_Daten!A74)</f>
        <v>R6A</v>
      </c>
      <c r="B71" s="15" t="str">
        <f>IF(ASV_Daten!B74="","",ASV_Daten!B74)</f>
        <v>Dörflinger</v>
      </c>
      <c r="C71" s="15" t="str">
        <f>IF(ASV_Daten!C74="","",ASV_Daten!C74)</f>
        <v>Ace</v>
      </c>
      <c r="D71" s="15">
        <f>IF(ASV_Daten!D74="","",ASV_Daten!D74)</f>
        <v>2014</v>
      </c>
      <c r="E71" s="15" t="str">
        <f>IF(ASV_Daten!E74="","",ASV_Daten!E74)</f>
        <v>M</v>
      </c>
      <c r="F71" s="16" t="str">
        <f t="shared" si="1"/>
        <v>6</v>
      </c>
      <c r="G71" s="17">
        <f t="shared" si="2"/>
        <v>12</v>
      </c>
      <c r="H71" s="19"/>
      <c r="I71" s="19">
        <f t="shared" si="3"/>
        <v>0</v>
      </c>
      <c r="J71" s="20">
        <v>10.0</v>
      </c>
      <c r="K71" s="19">
        <f t="shared" si="4"/>
        <v>158</v>
      </c>
      <c r="L71" s="20">
        <v>2.61</v>
      </c>
      <c r="M71" s="19">
        <f t="shared" si="5"/>
        <v>212</v>
      </c>
      <c r="N71" s="20">
        <v>17.5</v>
      </c>
      <c r="O71" s="19">
        <f t="shared" si="6"/>
        <v>125</v>
      </c>
      <c r="P71" s="19" t="str">
        <f t="shared" si="7"/>
        <v>Punkte M 5-6</v>
      </c>
      <c r="Q71" s="19" t="str">
        <f t="shared" si="8"/>
        <v>Noten-Matrix-Jungen</v>
      </c>
      <c r="R71" s="21">
        <f t="shared" si="9"/>
        <v>495</v>
      </c>
      <c r="S71" s="19" t="str">
        <f>IF(R71=0, "Keine Teilnahme", IFERROR(IF(R71&gt;=VLOOKUP(G71&amp;LOWER(E71), Formeln!$H$2:$K$30, 4, FALSE), "Ehrenurkunde", IF(R71&gt;=VLOOKUP(G71&amp;LOWER(E71), Formeln!$H$2:$K$30, 3, FALSE), "Siegerurkunde", "Teilnehmerurkunde")), "Keine Urkunde"))</f>
        <v>Teilnehmerurkunde</v>
      </c>
      <c r="T71" s="22" t="str">
        <f t="shared" si="10"/>
        <v>NOTE</v>
      </c>
    </row>
    <row r="72" ht="19.5" hidden="1" customHeight="1">
      <c r="A72" s="7" t="str">
        <f>IF(ASV_Daten!A89="","",ASV_Daten!A89)</f>
        <v>R6A</v>
      </c>
      <c r="B72" s="7" t="str">
        <f>IF(ASV_Daten!B89="","",ASV_Daten!B89)</f>
        <v>Kleiser</v>
      </c>
      <c r="C72" s="7" t="str">
        <f>IF(ASV_Daten!C89="","",ASV_Daten!C89)</f>
        <v>Adrian</v>
      </c>
      <c r="D72" s="7">
        <f>IF(ASV_Daten!D89="","",ASV_Daten!D89)</f>
        <v>2013</v>
      </c>
      <c r="E72" s="7" t="str">
        <f>IF(ASV_Daten!E89="","",ASV_Daten!E89)</f>
        <v>M</v>
      </c>
      <c r="F72" s="8" t="str">
        <f t="shared" si="1"/>
        <v>6</v>
      </c>
      <c r="G72" s="9">
        <f t="shared" si="2"/>
        <v>13</v>
      </c>
      <c r="H72" s="10">
        <v>0.1798611111111111</v>
      </c>
      <c r="I72" s="11">
        <f t="shared" si="3"/>
        <v>281</v>
      </c>
      <c r="J72" s="11"/>
      <c r="K72" s="11">
        <f t="shared" si="4"/>
        <v>0</v>
      </c>
      <c r="L72" s="12">
        <v>3.81</v>
      </c>
      <c r="M72" s="11">
        <f t="shared" si="5"/>
        <v>366</v>
      </c>
      <c r="N72" s="12">
        <v>24.0</v>
      </c>
      <c r="O72" s="11">
        <f t="shared" si="6"/>
        <v>190</v>
      </c>
      <c r="P72" s="11" t="str">
        <f t="shared" si="7"/>
        <v>Punkte M 5-6</v>
      </c>
      <c r="Q72" s="11" t="str">
        <f t="shared" si="8"/>
        <v>Noten-Matrix-Jungen</v>
      </c>
      <c r="R72" s="13">
        <f t="shared" si="9"/>
        <v>837</v>
      </c>
      <c r="S72" s="11" t="str">
        <f>IF(R72=0, "Keine Teilnahme", IFERROR(IF(R72&gt;=VLOOKUP(G72&amp;LOWER(E72), Formeln!$H$2:$K$30, 4, FALSE), "Ehrenurkunde", IF(R72&gt;=VLOOKUP(G72&amp;LOWER(E72), Formeln!$H$2:$K$30, 3, FALSE), "Siegerurkunde", "Teilnehmerurkunde")), "Keine Urkunde"))</f>
        <v>Siegerurkunde</v>
      </c>
      <c r="T72" s="14">
        <f t="shared" si="10"/>
        <v>2.7</v>
      </c>
    </row>
    <row r="73" ht="19.5" hidden="1" customHeight="1">
      <c r="A73" s="15" t="str">
        <f>IF(ASV_Daten!A101="","",ASV_Daten!A101)</f>
        <v>R6A</v>
      </c>
      <c r="B73" s="15" t="str">
        <f>IF(ASV_Daten!B101="","",ASV_Daten!B101)</f>
        <v>Winterhalder</v>
      </c>
      <c r="C73" s="15" t="str">
        <f>IF(ASV_Daten!C101="","",ASV_Daten!C101)</f>
        <v>Adrion</v>
      </c>
      <c r="D73" s="15">
        <f>IF(ASV_Daten!D101="","",ASV_Daten!D101)</f>
        <v>2013</v>
      </c>
      <c r="E73" s="15" t="str">
        <f>IF(ASV_Daten!E101="","",ASV_Daten!E101)</f>
        <v>M</v>
      </c>
      <c r="F73" s="16" t="str">
        <f t="shared" si="1"/>
        <v>6</v>
      </c>
      <c r="G73" s="17">
        <f t="shared" si="2"/>
        <v>13</v>
      </c>
      <c r="H73" s="18">
        <v>0.17083333333333334</v>
      </c>
      <c r="I73" s="19">
        <f t="shared" si="3"/>
        <v>317</v>
      </c>
      <c r="J73" s="19"/>
      <c r="K73" s="19">
        <f t="shared" si="4"/>
        <v>0</v>
      </c>
      <c r="L73" s="20">
        <v>3.65</v>
      </c>
      <c r="M73" s="19">
        <f t="shared" si="5"/>
        <v>347</v>
      </c>
      <c r="N73" s="20">
        <v>38.0</v>
      </c>
      <c r="O73" s="19">
        <f t="shared" si="6"/>
        <v>305</v>
      </c>
      <c r="P73" s="19" t="str">
        <f t="shared" si="7"/>
        <v>Punkte M 5-6</v>
      </c>
      <c r="Q73" s="19" t="str">
        <f t="shared" si="8"/>
        <v>Noten-Matrix-Jungen</v>
      </c>
      <c r="R73" s="21">
        <f t="shared" si="9"/>
        <v>969</v>
      </c>
      <c r="S73" s="19" t="str">
        <f>IF(R73=0, "Keine Teilnahme", IFERROR(IF(R73&gt;=VLOOKUP(G73&amp;LOWER(E73), Formeln!$H$2:$K$30, 4, FALSE), "Ehrenurkunde", IF(R73&gt;=VLOOKUP(G73&amp;LOWER(E73), Formeln!$H$2:$K$30, 3, FALSE), "Siegerurkunde", "Teilnehmerurkunde")), "Keine Urkunde"))</f>
        <v>Siegerurkunde</v>
      </c>
      <c r="T73" s="22">
        <f t="shared" si="10"/>
        <v>2</v>
      </c>
    </row>
    <row r="74" ht="19.5" hidden="1" customHeight="1">
      <c r="A74" s="7" t="str">
        <f>IF(ASV_Daten!A90="","",ASV_Daten!A90)</f>
        <v>R6A</v>
      </c>
      <c r="B74" s="7" t="str">
        <f>IF(ASV_Daten!B90="","",ASV_Daten!B90)</f>
        <v>Kleiser</v>
      </c>
      <c r="C74" s="7" t="str">
        <f>IF(ASV_Daten!C90="","",ASV_Daten!C90)</f>
        <v>Amelie</v>
      </c>
      <c r="D74" s="7">
        <f>IF(ASV_Daten!D90="","",ASV_Daten!D90)</f>
        <v>2013</v>
      </c>
      <c r="E74" s="7" t="str">
        <f>IF(ASV_Daten!E90="","",ASV_Daten!E90)</f>
        <v>W</v>
      </c>
      <c r="F74" s="8" t="str">
        <f t="shared" si="1"/>
        <v>6</v>
      </c>
      <c r="G74" s="9">
        <f t="shared" si="2"/>
        <v>13</v>
      </c>
      <c r="H74" s="11"/>
      <c r="I74" s="11">
        <f t="shared" si="3"/>
        <v>0</v>
      </c>
      <c r="J74" s="12">
        <v>8.5</v>
      </c>
      <c r="K74" s="11">
        <f t="shared" si="4"/>
        <v>314</v>
      </c>
      <c r="L74" s="12">
        <v>3.09</v>
      </c>
      <c r="M74" s="11">
        <f t="shared" si="5"/>
        <v>319</v>
      </c>
      <c r="N74" s="12">
        <v>19.0</v>
      </c>
      <c r="O74" s="11">
        <f t="shared" si="6"/>
        <v>267</v>
      </c>
      <c r="P74" s="11" t="str">
        <f t="shared" si="7"/>
        <v>Punkte W 5-6</v>
      </c>
      <c r="Q74" s="11" t="str">
        <f t="shared" si="8"/>
        <v>Noten-Matrix-Mädchen</v>
      </c>
      <c r="R74" s="13">
        <f t="shared" si="9"/>
        <v>900</v>
      </c>
      <c r="S74" s="11" t="str">
        <f>IF(R74=0, "Keine Teilnahme", IFERROR(IF(R74&gt;=VLOOKUP(G74&amp;LOWER(E74), Formeln!$H$2:$K$30, 4, FALSE), "Ehrenurkunde", IF(R74&gt;=VLOOKUP(G74&amp;LOWER(E74), Formeln!$H$2:$K$30, 3, FALSE), "Siegerurkunde", "Teilnehmerurkunde")), "Keine Urkunde"))</f>
        <v>Siegerurkunde</v>
      </c>
      <c r="T74" s="14">
        <f t="shared" si="10"/>
        <v>2.2</v>
      </c>
    </row>
    <row r="75" ht="19.5" hidden="1" customHeight="1">
      <c r="A75" s="15" t="str">
        <f>IF(ASV_Daten!A97="","",ASV_Daten!A97)</f>
        <v>R6A</v>
      </c>
      <c r="B75" s="15" t="str">
        <f>IF(ASV_Daten!B97="","",ASV_Daten!B97)</f>
        <v>Schneider</v>
      </c>
      <c r="C75" s="15" t="str">
        <f>IF(ASV_Daten!C97="","",ASV_Daten!C97)</f>
        <v>Emilie</v>
      </c>
      <c r="D75" s="15">
        <f>IF(ASV_Daten!D97="","",ASV_Daten!D97)</f>
        <v>2014</v>
      </c>
      <c r="E75" s="15" t="str">
        <f>IF(ASV_Daten!E97="","",ASV_Daten!E97)</f>
        <v>W</v>
      </c>
      <c r="F75" s="16" t="str">
        <f t="shared" si="1"/>
        <v>6</v>
      </c>
      <c r="G75" s="17">
        <f t="shared" si="2"/>
        <v>12</v>
      </c>
      <c r="H75" s="19"/>
      <c r="I75" s="19">
        <f t="shared" si="3"/>
        <v>0</v>
      </c>
      <c r="J75" s="20">
        <v>8.0</v>
      </c>
      <c r="K75" s="19">
        <f t="shared" si="4"/>
        <v>366</v>
      </c>
      <c r="L75" s="20">
        <v>3.97</v>
      </c>
      <c r="M75" s="19">
        <f t="shared" si="5"/>
        <v>432</v>
      </c>
      <c r="N75" s="20">
        <v>20.5</v>
      </c>
      <c r="O75" s="19">
        <f t="shared" si="6"/>
        <v>286</v>
      </c>
      <c r="P75" s="19" t="str">
        <f t="shared" si="7"/>
        <v>Punkte W 5-6</v>
      </c>
      <c r="Q75" s="19" t="str">
        <f t="shared" si="8"/>
        <v>Noten-Matrix-Mädchen</v>
      </c>
      <c r="R75" s="21">
        <f t="shared" si="9"/>
        <v>1084</v>
      </c>
      <c r="S75" s="19" t="str">
        <f>IF(R75=0, "Keine Teilnahme", IFERROR(IF(R75&gt;=VLOOKUP(G75&amp;LOWER(E75), Formeln!$H$2:$K$30, 4, FALSE), "Ehrenurkunde", IF(R75&gt;=VLOOKUP(G75&amp;LOWER(E75), Formeln!$H$2:$K$30, 3, FALSE), "Siegerurkunde", "Teilnehmerurkunde")), "Keine Urkunde"))</f>
        <v>Ehrenurkunde</v>
      </c>
      <c r="T75" s="22">
        <f t="shared" si="10"/>
        <v>1</v>
      </c>
    </row>
    <row r="76" ht="19.5" hidden="1" customHeight="1">
      <c r="A76" s="7" t="str">
        <f>IF(ASV_Daten!A92="","",ASV_Daten!A92)</f>
        <v>R6A</v>
      </c>
      <c r="B76" s="7" t="str">
        <f>IF(ASV_Daten!B92="","",ASV_Daten!B92)</f>
        <v>Kling</v>
      </c>
      <c r="C76" s="7" t="str">
        <f>IF(ASV_Daten!C92="","",ASV_Daten!C92)</f>
        <v>Eric</v>
      </c>
      <c r="D76" s="7">
        <f>IF(ASV_Daten!D92="","",ASV_Daten!D92)</f>
        <v>2014</v>
      </c>
      <c r="E76" s="7" t="str">
        <f>IF(ASV_Daten!E92="","",ASV_Daten!E92)</f>
        <v>M</v>
      </c>
      <c r="F76" s="8" t="str">
        <f t="shared" si="1"/>
        <v>6</v>
      </c>
      <c r="G76" s="9">
        <f t="shared" si="2"/>
        <v>12</v>
      </c>
      <c r="H76" s="11"/>
      <c r="I76" s="11">
        <f t="shared" si="3"/>
        <v>0</v>
      </c>
      <c r="J76" s="12">
        <v>8.8</v>
      </c>
      <c r="K76" s="11">
        <f t="shared" si="4"/>
        <v>252</v>
      </c>
      <c r="L76" s="12">
        <v>3.57</v>
      </c>
      <c r="M76" s="11">
        <f t="shared" si="5"/>
        <v>337</v>
      </c>
      <c r="N76" s="12">
        <v>31.0</v>
      </c>
      <c r="O76" s="11">
        <f t="shared" si="6"/>
        <v>251</v>
      </c>
      <c r="P76" s="11" t="str">
        <f t="shared" si="7"/>
        <v>Punkte M 5-6</v>
      </c>
      <c r="Q76" s="11" t="str">
        <f t="shared" si="8"/>
        <v>Noten-Matrix-Jungen</v>
      </c>
      <c r="R76" s="13">
        <f t="shared" si="9"/>
        <v>840</v>
      </c>
      <c r="S76" s="11" t="str">
        <f>IF(R76=0, "Keine Teilnahme", IFERROR(IF(R76&gt;=VLOOKUP(G76&amp;LOWER(E76), Formeln!$H$2:$K$30, 4, FALSE), "Ehrenurkunde", IF(R76&gt;=VLOOKUP(G76&amp;LOWER(E76), Formeln!$H$2:$K$30, 3, FALSE), "Siegerurkunde", "Teilnehmerurkunde")), "Keine Urkunde"))</f>
        <v>Siegerurkunde</v>
      </c>
      <c r="T76" s="14">
        <f t="shared" si="10"/>
        <v>2.2</v>
      </c>
    </row>
    <row r="77" ht="19.5" hidden="1" customHeight="1">
      <c r="A77" s="15" t="str">
        <f>IF(ASV_Daten!A71="","",ASV_Daten!A71)</f>
        <v>R6A</v>
      </c>
      <c r="B77" s="15" t="str">
        <f>IF(ASV_Daten!B71="","",ASV_Daten!B71)</f>
        <v>Becker</v>
      </c>
      <c r="C77" s="15" t="str">
        <f>IF(ASV_Daten!C71="","",ASV_Daten!C71)</f>
        <v>Eva-Marie</v>
      </c>
      <c r="D77" s="15">
        <f>IF(ASV_Daten!D71="","",ASV_Daten!D71)</f>
        <v>2014</v>
      </c>
      <c r="E77" s="15" t="str">
        <f>IF(ASV_Daten!E71="","",ASV_Daten!E71)</f>
        <v>W</v>
      </c>
      <c r="F77" s="16" t="str">
        <f t="shared" si="1"/>
        <v>6</v>
      </c>
      <c r="G77" s="17">
        <f t="shared" si="2"/>
        <v>12</v>
      </c>
      <c r="H77" s="19"/>
      <c r="I77" s="19">
        <f t="shared" si="3"/>
        <v>0</v>
      </c>
      <c r="J77" s="19"/>
      <c r="K77" s="19">
        <f t="shared" si="4"/>
        <v>0</v>
      </c>
      <c r="L77" s="19"/>
      <c r="M77" s="19">
        <f t="shared" si="5"/>
        <v>0</v>
      </c>
      <c r="N77" s="19"/>
      <c r="O77" s="19">
        <f t="shared" si="6"/>
        <v>0</v>
      </c>
      <c r="P77" s="19" t="str">
        <f t="shared" si="7"/>
        <v>Punkte W 5-6</v>
      </c>
      <c r="Q77" s="19" t="str">
        <f t="shared" si="8"/>
        <v>Noten-Matrix-Mädchen</v>
      </c>
      <c r="R77" s="21">
        <f t="shared" si="9"/>
        <v>0</v>
      </c>
      <c r="S77" s="19" t="str">
        <f>IF(R77=0, "Keine Teilnahme", IFERROR(IF(R77&gt;=VLOOKUP(G77&amp;LOWER(E77), Formeln!$H$2:$K$30, 4, FALSE), "Ehrenurkunde", IF(R77&gt;=VLOOKUP(G77&amp;LOWER(E77), Formeln!$H$2:$K$30, 3, FALSE), "Siegerurkunde", "Teilnehmerurkunde")), "Keine Urkunde"))</f>
        <v>Keine Teilnahme</v>
      </c>
      <c r="T77" s="22" t="str">
        <f t="shared" si="10"/>
        <v>Keine Teilnahme</v>
      </c>
    </row>
    <row r="78" ht="19.5" hidden="1" customHeight="1">
      <c r="A78" s="7" t="str">
        <f>IF(ASV_Daten!A82="","",ASV_Daten!A82)</f>
        <v>R6A</v>
      </c>
      <c r="B78" s="7" t="str">
        <f>IF(ASV_Daten!B82="","",ASV_Daten!B82)</f>
        <v>Greiner-Adam</v>
      </c>
      <c r="C78" s="7" t="str">
        <f>IF(ASV_Daten!C82="","",ASV_Daten!C82)</f>
        <v>Felix</v>
      </c>
      <c r="D78" s="7">
        <f>IF(ASV_Daten!D82="","",ASV_Daten!D82)</f>
        <v>2013</v>
      </c>
      <c r="E78" s="7" t="str">
        <f>IF(ASV_Daten!E82="","",ASV_Daten!E82)</f>
        <v>M</v>
      </c>
      <c r="F78" s="8" t="str">
        <f t="shared" si="1"/>
        <v>6</v>
      </c>
      <c r="G78" s="9">
        <f t="shared" si="2"/>
        <v>13</v>
      </c>
      <c r="H78" s="11"/>
      <c r="I78" s="11">
        <f t="shared" si="3"/>
        <v>0</v>
      </c>
      <c r="J78" s="12">
        <v>9.2</v>
      </c>
      <c r="K78" s="11">
        <f t="shared" si="4"/>
        <v>218</v>
      </c>
      <c r="L78" s="12">
        <v>3.05</v>
      </c>
      <c r="M78" s="11">
        <f t="shared" si="5"/>
        <v>272</v>
      </c>
      <c r="N78" s="12">
        <v>22.0</v>
      </c>
      <c r="O78" s="11">
        <f t="shared" si="6"/>
        <v>171</v>
      </c>
      <c r="P78" s="11" t="str">
        <f t="shared" si="7"/>
        <v>Punkte M 5-6</v>
      </c>
      <c r="Q78" s="11" t="str">
        <f t="shared" si="8"/>
        <v>Noten-Matrix-Jungen</v>
      </c>
      <c r="R78" s="13">
        <f t="shared" si="9"/>
        <v>661</v>
      </c>
      <c r="S78" s="11" t="str">
        <f>IF(R78=0, "Keine Teilnahme", IFERROR(IF(R78&gt;=VLOOKUP(G78&amp;LOWER(E78), Formeln!$H$2:$K$30, 4, FALSE), "Ehrenurkunde", IF(R78&gt;=VLOOKUP(G78&amp;LOWER(E78), Formeln!$H$2:$K$30, 3, FALSE), "Siegerurkunde", "Teilnehmerurkunde")), "Keine Urkunde"))</f>
        <v>Teilnehmerurkunde</v>
      </c>
      <c r="T78" s="14">
        <f t="shared" si="10"/>
        <v>4</v>
      </c>
    </row>
    <row r="79" ht="19.5" hidden="1" customHeight="1">
      <c r="A79" s="15" t="str">
        <f>IF(ASV_Daten!A75="","",ASV_Daten!A75)</f>
        <v>R6A</v>
      </c>
      <c r="B79" s="15" t="str">
        <f>IF(ASV_Daten!B75="","",ASV_Daten!B75)</f>
        <v>Dreher</v>
      </c>
      <c r="C79" s="15" t="str">
        <f>IF(ASV_Daten!C75="","",ASV_Daten!C75)</f>
        <v>Hannah</v>
      </c>
      <c r="D79" s="15">
        <f>IF(ASV_Daten!D75="","",ASV_Daten!D75)</f>
        <v>2014</v>
      </c>
      <c r="E79" s="15" t="str">
        <f>IF(ASV_Daten!E75="","",ASV_Daten!E75)</f>
        <v>W</v>
      </c>
      <c r="F79" s="16" t="str">
        <f t="shared" si="1"/>
        <v>6</v>
      </c>
      <c r="G79" s="17">
        <f t="shared" si="2"/>
        <v>12</v>
      </c>
      <c r="H79" s="19"/>
      <c r="I79" s="19">
        <f t="shared" si="3"/>
        <v>0</v>
      </c>
      <c r="J79" s="20">
        <v>9.6</v>
      </c>
      <c r="K79" s="19">
        <f t="shared" si="4"/>
        <v>217</v>
      </c>
      <c r="L79" s="20">
        <v>2.89</v>
      </c>
      <c r="M79" s="19">
        <f t="shared" si="5"/>
        <v>291</v>
      </c>
      <c r="N79" s="20">
        <v>12.5</v>
      </c>
      <c r="O79" s="19">
        <f t="shared" si="6"/>
        <v>173</v>
      </c>
      <c r="P79" s="19" t="str">
        <f t="shared" si="7"/>
        <v>Punkte W 5-6</v>
      </c>
      <c r="Q79" s="19" t="str">
        <f t="shared" si="8"/>
        <v>Noten-Matrix-Mädchen</v>
      </c>
      <c r="R79" s="21">
        <f t="shared" si="9"/>
        <v>681</v>
      </c>
      <c r="S79" s="19" t="str">
        <f>IF(R79=0, "Keine Teilnahme", IFERROR(IF(R79&gt;=VLOOKUP(G79&amp;LOWER(E79), Formeln!$H$2:$K$30, 4, FALSE), "Ehrenurkunde", IF(R79&gt;=VLOOKUP(G79&amp;LOWER(E79), Formeln!$H$2:$K$30, 3, FALSE), "Siegerurkunde", "Teilnehmerurkunde")), "Keine Urkunde"))</f>
        <v>Teilnehmerurkunde</v>
      </c>
      <c r="T79" s="22">
        <f t="shared" si="10"/>
        <v>3.4</v>
      </c>
    </row>
    <row r="80" ht="19.5" hidden="1" customHeight="1">
      <c r="A80" s="7" t="str">
        <f>IF(ASV_Daten!A84="","",ASV_Daten!A84)</f>
        <v>R6A</v>
      </c>
      <c r="B80" s="7" t="str">
        <f>IF(ASV_Daten!B84="","",ASV_Daten!B84)</f>
        <v>Janke</v>
      </c>
      <c r="C80" s="7" t="str">
        <f>IF(ASV_Daten!C84="","",ASV_Daten!C84)</f>
        <v>Irina</v>
      </c>
      <c r="D80" s="7">
        <f>IF(ASV_Daten!D84="","",ASV_Daten!D84)</f>
        <v>2012</v>
      </c>
      <c r="E80" s="7" t="str">
        <f>IF(ASV_Daten!E84="","",ASV_Daten!E84)</f>
        <v>W</v>
      </c>
      <c r="F80" s="8" t="str">
        <f t="shared" si="1"/>
        <v>6</v>
      </c>
      <c r="G80" s="9">
        <f t="shared" si="2"/>
        <v>14</v>
      </c>
      <c r="H80" s="11"/>
      <c r="I80" s="11">
        <f t="shared" si="3"/>
        <v>0</v>
      </c>
      <c r="J80" s="11"/>
      <c r="K80" s="11">
        <f t="shared" si="4"/>
        <v>0</v>
      </c>
      <c r="L80" s="11"/>
      <c r="M80" s="11">
        <f t="shared" si="5"/>
        <v>0</v>
      </c>
      <c r="N80" s="11"/>
      <c r="O80" s="11">
        <f t="shared" si="6"/>
        <v>0</v>
      </c>
      <c r="P80" s="11" t="str">
        <f t="shared" si="7"/>
        <v>Punkte W 5-6</v>
      </c>
      <c r="Q80" s="11" t="str">
        <f t="shared" si="8"/>
        <v>Noten-Matrix-Mädchen</v>
      </c>
      <c r="R80" s="13">
        <f t="shared" si="9"/>
        <v>0</v>
      </c>
      <c r="S80" s="11" t="str">
        <f>IF(R80=0, "Keine Teilnahme", IFERROR(IF(R80&gt;=VLOOKUP(G80&amp;LOWER(E80), Formeln!$H$2:$K$30, 4, FALSE), "Ehrenurkunde", IF(R80&gt;=VLOOKUP(G80&amp;LOWER(E80), Formeln!$H$2:$K$30, 3, FALSE), "Siegerurkunde", "Teilnehmerurkunde")), "Keine Urkunde"))</f>
        <v>Keine Teilnahme</v>
      </c>
      <c r="T80" s="14" t="str">
        <f t="shared" si="10"/>
        <v>Keine Teilnahme</v>
      </c>
    </row>
    <row r="81" ht="19.5" hidden="1" customHeight="1">
      <c r="A81" s="15" t="str">
        <f>IF(ASV_Daten!A77="","",ASV_Daten!A77)</f>
        <v>R6A</v>
      </c>
      <c r="B81" s="15" t="str">
        <f>IF(ASV_Daten!B77="","",ASV_Daten!B77)</f>
        <v>Eberl</v>
      </c>
      <c r="C81" s="15" t="str">
        <f>IF(ASV_Daten!C77="","",ASV_Daten!C77)</f>
        <v>Jamie</v>
      </c>
      <c r="D81" s="15">
        <f>IF(ASV_Daten!D77="","",ASV_Daten!D77)</f>
        <v>2013</v>
      </c>
      <c r="E81" s="15" t="str">
        <f>IF(ASV_Daten!E77="","",ASV_Daten!E77)</f>
        <v>M</v>
      </c>
      <c r="F81" s="16" t="str">
        <f t="shared" si="1"/>
        <v>6</v>
      </c>
      <c r="G81" s="17">
        <f t="shared" si="2"/>
        <v>13</v>
      </c>
      <c r="H81" s="19"/>
      <c r="I81" s="19">
        <f t="shared" si="3"/>
        <v>0</v>
      </c>
      <c r="J81" s="19"/>
      <c r="K81" s="19">
        <f t="shared" si="4"/>
        <v>0</v>
      </c>
      <c r="L81" s="19"/>
      <c r="M81" s="19">
        <f t="shared" si="5"/>
        <v>0</v>
      </c>
      <c r="N81" s="19"/>
      <c r="O81" s="19">
        <f t="shared" si="6"/>
        <v>0</v>
      </c>
      <c r="P81" s="19" t="str">
        <f t="shared" si="7"/>
        <v>Punkte M 5-6</v>
      </c>
      <c r="Q81" s="19" t="str">
        <f t="shared" si="8"/>
        <v>Noten-Matrix-Jungen</v>
      </c>
      <c r="R81" s="21">
        <f t="shared" si="9"/>
        <v>0</v>
      </c>
      <c r="S81" s="19" t="str">
        <f>IF(R81=0, "Keine Teilnahme", IFERROR(IF(R81&gt;=VLOOKUP(G81&amp;LOWER(E81), Formeln!$H$2:$K$30, 4, FALSE), "Ehrenurkunde", IF(R81&gt;=VLOOKUP(G81&amp;LOWER(E81), Formeln!$H$2:$K$30, 3, FALSE), "Siegerurkunde", "Teilnehmerurkunde")), "Keine Urkunde"))</f>
        <v>Keine Teilnahme</v>
      </c>
      <c r="T81" s="22" t="str">
        <f t="shared" si="10"/>
        <v>Keine Teilnahme</v>
      </c>
    </row>
    <row r="82" ht="19.5" hidden="1" customHeight="1">
      <c r="A82" s="7" t="str">
        <f>IF(ASV_Daten!A98="","",ASV_Daten!A98)</f>
        <v>R6A</v>
      </c>
      <c r="B82" s="7" t="str">
        <f>IF(ASV_Daten!B98="","",ASV_Daten!B98)</f>
        <v>Sejnalow</v>
      </c>
      <c r="C82" s="7" t="str">
        <f>IF(ASV_Daten!C98="","",ASV_Daten!C98)</f>
        <v>Jasmina</v>
      </c>
      <c r="D82" s="7">
        <f>IF(ASV_Daten!D98="","",ASV_Daten!D98)</f>
        <v>2013</v>
      </c>
      <c r="E82" s="7" t="str">
        <f>IF(ASV_Daten!E98="","",ASV_Daten!E98)</f>
        <v>W</v>
      </c>
      <c r="F82" s="8" t="str">
        <f t="shared" si="1"/>
        <v>6</v>
      </c>
      <c r="G82" s="9">
        <f t="shared" si="2"/>
        <v>13</v>
      </c>
      <c r="H82" s="11"/>
      <c r="I82" s="11">
        <f t="shared" si="3"/>
        <v>0</v>
      </c>
      <c r="J82" s="11"/>
      <c r="K82" s="11">
        <f t="shared" si="4"/>
        <v>0</v>
      </c>
      <c r="L82" s="11"/>
      <c r="M82" s="11">
        <f t="shared" si="5"/>
        <v>0</v>
      </c>
      <c r="N82" s="11"/>
      <c r="O82" s="11">
        <f t="shared" si="6"/>
        <v>0</v>
      </c>
      <c r="P82" s="11" t="str">
        <f t="shared" si="7"/>
        <v>Punkte W 5-6</v>
      </c>
      <c r="Q82" s="11" t="str">
        <f t="shared" si="8"/>
        <v>Noten-Matrix-Mädchen</v>
      </c>
      <c r="R82" s="13">
        <f t="shared" si="9"/>
        <v>0</v>
      </c>
      <c r="S82" s="11" t="str">
        <f>IF(R82=0, "Keine Teilnahme", IFERROR(IF(R82&gt;=VLOOKUP(G82&amp;LOWER(E82), Formeln!$H$2:$K$30, 4, FALSE), "Ehrenurkunde", IF(R82&gt;=VLOOKUP(G82&amp;LOWER(E82), Formeln!$H$2:$K$30, 3, FALSE), "Siegerurkunde", "Teilnehmerurkunde")), "Keine Urkunde"))</f>
        <v>Keine Teilnahme</v>
      </c>
      <c r="T82" s="14" t="str">
        <f t="shared" si="10"/>
        <v>Keine Teilnahme</v>
      </c>
    </row>
    <row r="83" ht="19.5" hidden="1" customHeight="1">
      <c r="A83" s="15" t="str">
        <f>IF(ASV_Daten!A87="","",ASV_Daten!A87)</f>
        <v>R6A</v>
      </c>
      <c r="B83" s="15" t="str">
        <f>IF(ASV_Daten!B87="","",ASV_Daten!B87)</f>
        <v>Kastrati</v>
      </c>
      <c r="C83" s="15" t="str">
        <f>IF(ASV_Daten!C87="","",ASV_Daten!C87)</f>
        <v>Joel</v>
      </c>
      <c r="D83" s="15">
        <f>IF(ASV_Daten!D87="","",ASV_Daten!D87)</f>
        <v>2013</v>
      </c>
      <c r="E83" s="15" t="str">
        <f>IF(ASV_Daten!E87="","",ASV_Daten!E87)</f>
        <v>M</v>
      </c>
      <c r="F83" s="16" t="str">
        <f t="shared" si="1"/>
        <v>6</v>
      </c>
      <c r="G83" s="17">
        <f t="shared" si="2"/>
        <v>13</v>
      </c>
      <c r="H83" s="25"/>
      <c r="I83" s="19">
        <f t="shared" si="3"/>
        <v>0</v>
      </c>
      <c r="J83" s="19"/>
      <c r="K83" s="19">
        <f t="shared" si="4"/>
        <v>0</v>
      </c>
      <c r="L83" s="19"/>
      <c r="M83" s="19">
        <f t="shared" si="5"/>
        <v>0</v>
      </c>
      <c r="N83" s="19"/>
      <c r="O83" s="19">
        <f t="shared" si="6"/>
        <v>0</v>
      </c>
      <c r="P83" s="19" t="str">
        <f t="shared" si="7"/>
        <v>Punkte M 5-6</v>
      </c>
      <c r="Q83" s="19" t="str">
        <f t="shared" si="8"/>
        <v>Noten-Matrix-Jungen</v>
      </c>
      <c r="R83" s="21">
        <f t="shared" si="9"/>
        <v>0</v>
      </c>
      <c r="S83" s="19" t="str">
        <f>IF(R83=0, "Keine Teilnahme", IFERROR(IF(R83&gt;=VLOOKUP(G83&amp;LOWER(E83), Formeln!$H$2:$K$30, 4, FALSE), "Ehrenurkunde", IF(R83&gt;=VLOOKUP(G83&amp;LOWER(E83), Formeln!$H$2:$K$30, 3, FALSE), "Siegerurkunde", "Teilnehmerurkunde")), "Keine Urkunde"))</f>
        <v>Keine Teilnahme</v>
      </c>
      <c r="T83" s="22" t="str">
        <f t="shared" si="10"/>
        <v>Keine Teilnahme</v>
      </c>
    </row>
    <row r="84" ht="19.5" hidden="1" customHeight="1">
      <c r="A84" s="7" t="str">
        <f>IF(ASV_Daten!A70="","",ASV_Daten!A70)</f>
        <v>R6A</v>
      </c>
      <c r="B84" s="7" t="str">
        <f>IF(ASV_Daten!B70="","",ASV_Daten!B70)</f>
        <v>Basic</v>
      </c>
      <c r="C84" s="7" t="str">
        <f>IF(ASV_Daten!C70="","",ASV_Daten!C70)</f>
        <v>Kerim</v>
      </c>
      <c r="D84" s="7">
        <f>IF(ASV_Daten!D70="","",ASV_Daten!D70)</f>
        <v>2013</v>
      </c>
      <c r="E84" s="7" t="str">
        <f>IF(ASV_Daten!E70="","",ASV_Daten!E70)</f>
        <v>M</v>
      </c>
      <c r="F84" s="8" t="str">
        <f t="shared" si="1"/>
        <v>6</v>
      </c>
      <c r="G84" s="9">
        <f t="shared" si="2"/>
        <v>13</v>
      </c>
      <c r="H84" s="11"/>
      <c r="I84" s="11">
        <f t="shared" si="3"/>
        <v>0</v>
      </c>
      <c r="J84" s="12">
        <v>7.2</v>
      </c>
      <c r="K84" s="11">
        <f t="shared" si="4"/>
        <v>424</v>
      </c>
      <c r="L84" s="12">
        <v>3.53</v>
      </c>
      <c r="M84" s="11">
        <f t="shared" si="5"/>
        <v>332</v>
      </c>
      <c r="N84" s="12">
        <v>45.0</v>
      </c>
      <c r="O84" s="11">
        <f t="shared" si="6"/>
        <v>355</v>
      </c>
      <c r="P84" s="11" t="str">
        <f t="shared" si="7"/>
        <v>Punkte M 5-6</v>
      </c>
      <c r="Q84" s="11" t="str">
        <f t="shared" si="8"/>
        <v>Noten-Matrix-Jungen</v>
      </c>
      <c r="R84" s="13">
        <f t="shared" si="9"/>
        <v>1111</v>
      </c>
      <c r="S84" s="11" t="str">
        <f>IF(R84=0, "Keine Teilnahme", IFERROR(IF(R84&gt;=VLOOKUP(G84&amp;LOWER(E84), Formeln!$H$2:$K$30, 4, FALSE), "Ehrenurkunde", IF(R84&gt;=VLOOKUP(G84&amp;LOWER(E84), Formeln!$H$2:$K$30, 3, FALSE), "Siegerurkunde", "Teilnehmerurkunde")), "Keine Urkunde"))</f>
        <v>Ehrenurkunde</v>
      </c>
      <c r="T84" s="14">
        <f t="shared" si="10"/>
        <v>1.2</v>
      </c>
    </row>
    <row r="85" ht="19.5" hidden="1" customHeight="1">
      <c r="A85" s="15" t="str">
        <f>IF(ASV_Daten!A81="","",ASV_Daten!A81)</f>
        <v>R6A</v>
      </c>
      <c r="B85" s="15" t="str">
        <f>IF(ASV_Daten!B81="","",ASV_Daten!B81)</f>
        <v>Glöde</v>
      </c>
      <c r="C85" s="15" t="str">
        <f>IF(ASV_Daten!C81="","",ASV_Daten!C81)</f>
        <v>Leonie</v>
      </c>
      <c r="D85" s="15">
        <f>IF(ASV_Daten!D81="","",ASV_Daten!D81)</f>
        <v>2013</v>
      </c>
      <c r="E85" s="15" t="str">
        <f>IF(ASV_Daten!E81="","",ASV_Daten!E81)</f>
        <v>W</v>
      </c>
      <c r="F85" s="16" t="str">
        <f t="shared" si="1"/>
        <v>6</v>
      </c>
      <c r="G85" s="17">
        <f t="shared" si="2"/>
        <v>13</v>
      </c>
      <c r="H85" s="19"/>
      <c r="I85" s="19">
        <f t="shared" si="3"/>
        <v>0</v>
      </c>
      <c r="J85" s="19"/>
      <c r="K85" s="19">
        <f t="shared" si="4"/>
        <v>0</v>
      </c>
      <c r="L85" s="19"/>
      <c r="M85" s="19">
        <f t="shared" si="5"/>
        <v>0</v>
      </c>
      <c r="N85" s="19"/>
      <c r="O85" s="19">
        <f t="shared" si="6"/>
        <v>0</v>
      </c>
      <c r="P85" s="19" t="str">
        <f t="shared" si="7"/>
        <v>Punkte W 5-6</v>
      </c>
      <c r="Q85" s="19" t="str">
        <f t="shared" si="8"/>
        <v>Noten-Matrix-Mädchen</v>
      </c>
      <c r="R85" s="21">
        <f t="shared" si="9"/>
        <v>0</v>
      </c>
      <c r="S85" s="19" t="str">
        <f>IF(R85=0, "Keine Teilnahme", IFERROR(IF(R85&gt;=VLOOKUP(G85&amp;LOWER(E85), Formeln!$H$2:$K$30, 4, FALSE), "Ehrenurkunde", IF(R85&gt;=VLOOKUP(G85&amp;LOWER(E85), Formeln!$H$2:$K$30, 3, FALSE), "Siegerurkunde", "Teilnehmerurkunde")), "Keine Urkunde"))</f>
        <v>Keine Teilnahme</v>
      </c>
      <c r="T85" s="22" t="str">
        <f t="shared" si="10"/>
        <v>Keine Teilnahme</v>
      </c>
    </row>
    <row r="86" ht="19.5" hidden="1" customHeight="1">
      <c r="A86" s="7" t="str">
        <f>IF(ASV_Daten!A94="","",ASV_Daten!A94)</f>
        <v>R6A</v>
      </c>
      <c r="B86" s="7" t="str">
        <f>IF(ASV_Daten!B94="","",ASV_Daten!B94)</f>
        <v>Kura</v>
      </c>
      <c r="C86" s="7" t="str">
        <f>IF(ASV_Daten!C94="","",ASV_Daten!C94)</f>
        <v>Liam</v>
      </c>
      <c r="D86" s="7">
        <f>IF(ASV_Daten!D94="","",ASV_Daten!D94)</f>
        <v>2013</v>
      </c>
      <c r="E86" s="7" t="str">
        <f>IF(ASV_Daten!E94="","",ASV_Daten!E94)</f>
        <v>M</v>
      </c>
      <c r="F86" s="8" t="str">
        <f t="shared" si="1"/>
        <v>6</v>
      </c>
      <c r="G86" s="9">
        <f t="shared" si="2"/>
        <v>13</v>
      </c>
      <c r="H86" s="11"/>
      <c r="I86" s="11">
        <f t="shared" si="3"/>
        <v>0</v>
      </c>
      <c r="J86" s="11"/>
      <c r="K86" s="11">
        <f t="shared" si="4"/>
        <v>0</v>
      </c>
      <c r="L86" s="11"/>
      <c r="M86" s="11">
        <f t="shared" si="5"/>
        <v>0</v>
      </c>
      <c r="N86" s="11"/>
      <c r="O86" s="11">
        <f t="shared" si="6"/>
        <v>0</v>
      </c>
      <c r="P86" s="11" t="str">
        <f t="shared" si="7"/>
        <v>Punkte M 5-6</v>
      </c>
      <c r="Q86" s="11" t="str">
        <f t="shared" si="8"/>
        <v>Noten-Matrix-Jungen</v>
      </c>
      <c r="R86" s="13">
        <f t="shared" si="9"/>
        <v>0</v>
      </c>
      <c r="S86" s="11" t="str">
        <f>IF(R86=0, "Keine Teilnahme", IFERROR(IF(R86&gt;=VLOOKUP(G86&amp;LOWER(E86), Formeln!$H$2:$K$30, 4, FALSE), "Ehrenurkunde", IF(R86&gt;=VLOOKUP(G86&amp;LOWER(E86), Formeln!$H$2:$K$30, 3, FALSE), "Siegerurkunde", "Teilnehmerurkunde")), "Keine Urkunde"))</f>
        <v>Keine Teilnahme</v>
      </c>
      <c r="T86" s="14" t="str">
        <f t="shared" si="10"/>
        <v>Keine Teilnahme</v>
      </c>
    </row>
    <row r="87" ht="19.5" hidden="1" customHeight="1">
      <c r="A87" s="15" t="str">
        <f>IF(ASV_Daten!A83="","",ASV_Daten!A83)</f>
        <v>R6A</v>
      </c>
      <c r="B87" s="15" t="str">
        <f>IF(ASV_Daten!B83="","",ASV_Daten!B83)</f>
        <v>Hofmeier</v>
      </c>
      <c r="C87" s="15" t="str">
        <f>IF(ASV_Daten!C83="","",ASV_Daten!C83)</f>
        <v>Lukas</v>
      </c>
      <c r="D87" s="15">
        <f>IF(ASV_Daten!D83="","",ASV_Daten!D83)</f>
        <v>2013</v>
      </c>
      <c r="E87" s="15" t="str">
        <f>IF(ASV_Daten!E83="","",ASV_Daten!E83)</f>
        <v>M</v>
      </c>
      <c r="F87" s="16" t="str">
        <f t="shared" si="1"/>
        <v>6</v>
      </c>
      <c r="G87" s="17">
        <f t="shared" si="2"/>
        <v>13</v>
      </c>
      <c r="H87" s="18">
        <v>0.17777777777777778</v>
      </c>
      <c r="I87" s="19">
        <f t="shared" si="3"/>
        <v>291</v>
      </c>
      <c r="J87" s="19"/>
      <c r="K87" s="19">
        <f t="shared" si="4"/>
        <v>0</v>
      </c>
      <c r="L87" s="20">
        <v>3.37</v>
      </c>
      <c r="M87" s="19">
        <f t="shared" si="5"/>
        <v>313</v>
      </c>
      <c r="N87" s="20">
        <v>20.0</v>
      </c>
      <c r="O87" s="19">
        <f t="shared" si="6"/>
        <v>152</v>
      </c>
      <c r="P87" s="19" t="str">
        <f t="shared" si="7"/>
        <v>Punkte M 5-6</v>
      </c>
      <c r="Q87" s="19" t="str">
        <f t="shared" si="8"/>
        <v>Noten-Matrix-Jungen</v>
      </c>
      <c r="R87" s="21">
        <f t="shared" si="9"/>
        <v>756</v>
      </c>
      <c r="S87" s="19" t="str">
        <f>IF(R87=0, "Keine Teilnahme", IFERROR(IF(R87&gt;=VLOOKUP(G87&amp;LOWER(E87), Formeln!$H$2:$K$30, 4, FALSE), "Ehrenurkunde", IF(R87&gt;=VLOOKUP(G87&amp;LOWER(E87), Formeln!$H$2:$K$30, 3, FALSE), "Siegerurkunde", "Teilnehmerurkunde")), "Keine Urkunde"))</f>
        <v>Teilnehmerurkunde</v>
      </c>
      <c r="T87" s="22">
        <f t="shared" si="10"/>
        <v>3.2</v>
      </c>
    </row>
    <row r="88" ht="19.5" hidden="1" customHeight="1">
      <c r="A88" s="7" t="str">
        <f>IF(ASV_Daten!A69="","",ASV_Daten!A69)</f>
        <v>R6A</v>
      </c>
      <c r="B88" s="7" t="str">
        <f>IF(ASV_Daten!B69="","",ASV_Daten!B69)</f>
        <v>Alyhya</v>
      </c>
      <c r="C88" s="7" t="str">
        <f>IF(ASV_Daten!C69="","",ASV_Daten!C69)</f>
        <v>Malake</v>
      </c>
      <c r="D88" s="7">
        <f>IF(ASV_Daten!D69="","",ASV_Daten!D69)</f>
        <v>2013</v>
      </c>
      <c r="E88" s="7" t="str">
        <f>IF(ASV_Daten!E69="","",ASV_Daten!E69)</f>
        <v>W</v>
      </c>
      <c r="F88" s="8" t="str">
        <f t="shared" si="1"/>
        <v>6</v>
      </c>
      <c r="G88" s="9">
        <f t="shared" si="2"/>
        <v>13</v>
      </c>
      <c r="H88" s="27"/>
      <c r="I88" s="11">
        <f t="shared" si="3"/>
        <v>0</v>
      </c>
      <c r="J88" s="12">
        <v>10.3</v>
      </c>
      <c r="K88" s="11">
        <f t="shared" si="4"/>
        <v>166</v>
      </c>
      <c r="L88" s="12">
        <v>2.68</v>
      </c>
      <c r="M88" s="11">
        <f t="shared" si="5"/>
        <v>256</v>
      </c>
      <c r="N88" s="12">
        <v>17.5</v>
      </c>
      <c r="O88" s="11">
        <f t="shared" si="6"/>
        <v>247</v>
      </c>
      <c r="P88" s="11" t="str">
        <f t="shared" si="7"/>
        <v>Punkte W 5-6</v>
      </c>
      <c r="Q88" s="11" t="str">
        <f t="shared" si="8"/>
        <v>Noten-Matrix-Mädchen</v>
      </c>
      <c r="R88" s="13">
        <f t="shared" si="9"/>
        <v>669</v>
      </c>
      <c r="S88" s="11" t="str">
        <f>IF(R88=0, "Keine Teilnahme", IFERROR(IF(R88&gt;=VLOOKUP(G88&amp;LOWER(E88), Formeln!$H$2:$K$30, 4, FALSE), "Ehrenurkunde", IF(R88&gt;=VLOOKUP(G88&amp;LOWER(E88), Formeln!$H$2:$K$30, 3, FALSE), "Siegerurkunde", "Teilnehmerurkunde")), "Keine Urkunde"))</f>
        <v>Teilnehmerurkunde</v>
      </c>
      <c r="T88" s="14">
        <f t="shared" si="10"/>
        <v>3.9</v>
      </c>
    </row>
    <row r="89" ht="19.5" hidden="1" customHeight="1">
      <c r="A89" s="15" t="str">
        <f>IF(ASV_Daten!A91="","",ASV_Daten!A91)</f>
        <v>R6A</v>
      </c>
      <c r="B89" s="15" t="str">
        <f>IF(ASV_Daten!B91="","",ASV_Daten!B91)</f>
        <v>Kleiser</v>
      </c>
      <c r="C89" s="15" t="str">
        <f>IF(ASV_Daten!C91="","",ASV_Daten!C91)</f>
        <v>Marcel</v>
      </c>
      <c r="D89" s="15">
        <f>IF(ASV_Daten!D91="","",ASV_Daten!D91)</f>
        <v>2014</v>
      </c>
      <c r="E89" s="15" t="str">
        <f>IF(ASV_Daten!E91="","",ASV_Daten!E91)</f>
        <v>M</v>
      </c>
      <c r="F89" s="16" t="str">
        <f t="shared" si="1"/>
        <v>6</v>
      </c>
      <c r="G89" s="17">
        <f t="shared" si="2"/>
        <v>12</v>
      </c>
      <c r="H89" s="19"/>
      <c r="I89" s="19">
        <f t="shared" si="3"/>
        <v>0</v>
      </c>
      <c r="J89" s="20">
        <v>9.0</v>
      </c>
      <c r="K89" s="19">
        <f t="shared" si="4"/>
        <v>234</v>
      </c>
      <c r="L89" s="20">
        <v>2.81</v>
      </c>
      <c r="M89" s="19">
        <f t="shared" si="5"/>
        <v>240</v>
      </c>
      <c r="N89" s="20">
        <v>29.0</v>
      </c>
      <c r="O89" s="19">
        <f t="shared" si="6"/>
        <v>235</v>
      </c>
      <c r="P89" s="19" t="str">
        <f t="shared" si="7"/>
        <v>Punkte M 5-6</v>
      </c>
      <c r="Q89" s="19" t="str">
        <f t="shared" si="8"/>
        <v>Noten-Matrix-Jungen</v>
      </c>
      <c r="R89" s="21">
        <f t="shared" si="9"/>
        <v>709</v>
      </c>
      <c r="S89" s="19" t="str">
        <f>IF(R89=0, "Keine Teilnahme", IFERROR(IF(R89&gt;=VLOOKUP(G89&amp;LOWER(E89), Formeln!$H$2:$K$30, 4, FALSE), "Ehrenurkunde", IF(R89&gt;=VLOOKUP(G89&amp;LOWER(E89), Formeln!$H$2:$K$30, 3, FALSE), "Siegerurkunde", "Teilnehmerurkunde")), "Keine Urkunde"))</f>
        <v>Teilnehmerurkunde</v>
      </c>
      <c r="T89" s="22">
        <f t="shared" si="10"/>
        <v>3</v>
      </c>
    </row>
    <row r="90" ht="19.5" hidden="1" customHeight="1">
      <c r="A90" s="7" t="str">
        <f>IF(ASV_Daten!A85="","",ASV_Daten!A85)</f>
        <v>R6A</v>
      </c>
      <c r="B90" s="7" t="str">
        <f>IF(ASV_Daten!B85="","",ASV_Daten!B85)</f>
        <v>Kahlfeld</v>
      </c>
      <c r="C90" s="7" t="str">
        <f>IF(ASV_Daten!C85="","",ASV_Daten!C85)</f>
        <v>Matteo</v>
      </c>
      <c r="D90" s="7">
        <f>IF(ASV_Daten!D85="","",ASV_Daten!D85)</f>
        <v>2013</v>
      </c>
      <c r="E90" s="7" t="str">
        <f>IF(ASV_Daten!E85="","",ASV_Daten!E85)</f>
        <v>M</v>
      </c>
      <c r="F90" s="8" t="str">
        <f t="shared" si="1"/>
        <v>6</v>
      </c>
      <c r="G90" s="9">
        <f t="shared" si="2"/>
        <v>13</v>
      </c>
      <c r="H90" s="11"/>
      <c r="I90" s="11">
        <f t="shared" si="3"/>
        <v>0</v>
      </c>
      <c r="J90" s="12">
        <v>9.3</v>
      </c>
      <c r="K90" s="11">
        <f t="shared" si="4"/>
        <v>210</v>
      </c>
      <c r="L90" s="12">
        <v>2.97</v>
      </c>
      <c r="M90" s="11">
        <f t="shared" si="5"/>
        <v>261</v>
      </c>
      <c r="N90" s="12">
        <v>14.5</v>
      </c>
      <c r="O90" s="11">
        <f t="shared" si="6"/>
        <v>91</v>
      </c>
      <c r="P90" s="11" t="str">
        <f t="shared" si="7"/>
        <v>Punkte M 5-6</v>
      </c>
      <c r="Q90" s="11" t="str">
        <f t="shared" si="8"/>
        <v>Noten-Matrix-Jungen</v>
      </c>
      <c r="R90" s="13">
        <f t="shared" si="9"/>
        <v>562</v>
      </c>
      <c r="S90" s="11" t="str">
        <f>IF(R90=0, "Keine Teilnahme", IFERROR(IF(R90&gt;=VLOOKUP(G90&amp;LOWER(E90), Formeln!$H$2:$K$30, 4, FALSE), "Ehrenurkunde", IF(R90&gt;=VLOOKUP(G90&amp;LOWER(E90), Formeln!$H$2:$K$30, 3, FALSE), "Siegerurkunde", "Teilnehmerurkunde")), "Keine Urkunde"))</f>
        <v>Teilnehmerurkunde</v>
      </c>
      <c r="T90" s="14" t="str">
        <f t="shared" si="10"/>
        <v>NOTE</v>
      </c>
    </row>
    <row r="91" ht="19.5" hidden="1" customHeight="1">
      <c r="A91" s="15" t="str">
        <f>IF(ASV_Daten!A100="","",ASV_Daten!A100)</f>
        <v>R6A</v>
      </c>
      <c r="B91" s="15" t="str">
        <f>IF(ASV_Daten!B100="","",ASV_Daten!B100)</f>
        <v>Spitz</v>
      </c>
      <c r="C91" s="15" t="str">
        <f>IF(ASV_Daten!C100="","",ASV_Daten!C100)</f>
        <v>Matteo</v>
      </c>
      <c r="D91" s="15">
        <f>IF(ASV_Daten!D100="","",ASV_Daten!D100)</f>
        <v>2013</v>
      </c>
      <c r="E91" s="15" t="str">
        <f>IF(ASV_Daten!E100="","",ASV_Daten!E100)</f>
        <v>M</v>
      </c>
      <c r="F91" s="16" t="str">
        <f t="shared" si="1"/>
        <v>6</v>
      </c>
      <c r="G91" s="17">
        <f t="shared" si="2"/>
        <v>13</v>
      </c>
      <c r="H91" s="19"/>
      <c r="I91" s="19">
        <f t="shared" si="3"/>
        <v>0</v>
      </c>
      <c r="J91" s="19"/>
      <c r="K91" s="19">
        <f t="shared" si="4"/>
        <v>0</v>
      </c>
      <c r="L91" s="19"/>
      <c r="M91" s="19">
        <f t="shared" si="5"/>
        <v>0</v>
      </c>
      <c r="N91" s="19"/>
      <c r="O91" s="19">
        <f t="shared" si="6"/>
        <v>0</v>
      </c>
      <c r="P91" s="19" t="str">
        <f t="shared" si="7"/>
        <v>Punkte M 5-6</v>
      </c>
      <c r="Q91" s="19" t="str">
        <f t="shared" si="8"/>
        <v>Noten-Matrix-Jungen</v>
      </c>
      <c r="R91" s="21">
        <f t="shared" si="9"/>
        <v>0</v>
      </c>
      <c r="S91" s="19" t="str">
        <f>IF(R91=0, "Keine Teilnahme", IFERROR(IF(R91&gt;=VLOOKUP(G91&amp;LOWER(E91), Formeln!$H$2:$K$30, 4, FALSE), "Ehrenurkunde", IF(R91&gt;=VLOOKUP(G91&amp;LOWER(E91), Formeln!$H$2:$K$30, 3, FALSE), "Siegerurkunde", "Teilnehmerurkunde")), "Keine Urkunde"))</f>
        <v>Keine Teilnahme</v>
      </c>
      <c r="T91" s="22" t="str">
        <f t="shared" si="10"/>
        <v>Keine Teilnahme</v>
      </c>
    </row>
    <row r="92" ht="19.5" hidden="1" customHeight="1">
      <c r="A92" s="7" t="str">
        <f>IF(ASV_Daten!A80="","",ASV_Daten!A80)</f>
        <v>R6A</v>
      </c>
      <c r="B92" s="7" t="str">
        <f>IF(ASV_Daten!B80="","",ASV_Daten!B80)</f>
        <v>Fechtig</v>
      </c>
      <c r="C92" s="7" t="str">
        <f>IF(ASV_Daten!C80="","",ASV_Daten!C80)</f>
        <v>Max</v>
      </c>
      <c r="D92" s="7">
        <f>IF(ASV_Daten!D80="","",ASV_Daten!D80)</f>
        <v>2013</v>
      </c>
      <c r="E92" s="7" t="str">
        <f>IF(ASV_Daten!E80="","",ASV_Daten!E80)</f>
        <v>M</v>
      </c>
      <c r="F92" s="8" t="str">
        <f t="shared" si="1"/>
        <v>6</v>
      </c>
      <c r="G92" s="9">
        <f t="shared" si="2"/>
        <v>13</v>
      </c>
      <c r="H92" s="10">
        <v>0.17916666666666667</v>
      </c>
      <c r="I92" s="11">
        <f t="shared" si="3"/>
        <v>286</v>
      </c>
      <c r="J92" s="11"/>
      <c r="K92" s="11">
        <f t="shared" si="4"/>
        <v>0</v>
      </c>
      <c r="L92" s="12">
        <v>4.25</v>
      </c>
      <c r="M92" s="11">
        <f t="shared" si="5"/>
        <v>416</v>
      </c>
      <c r="N92" s="12">
        <v>23.0</v>
      </c>
      <c r="O92" s="11">
        <f t="shared" si="6"/>
        <v>181</v>
      </c>
      <c r="P92" s="11" t="str">
        <f t="shared" si="7"/>
        <v>Punkte M 5-6</v>
      </c>
      <c r="Q92" s="11" t="str">
        <f t="shared" si="8"/>
        <v>Noten-Matrix-Jungen</v>
      </c>
      <c r="R92" s="13">
        <f t="shared" si="9"/>
        <v>883</v>
      </c>
      <c r="S92" s="11" t="str">
        <f>IF(R92=0, "Keine Teilnahme", IFERROR(IF(R92&gt;=VLOOKUP(G92&amp;LOWER(E92), Formeln!$H$2:$K$30, 4, FALSE), "Ehrenurkunde", IF(R92&gt;=VLOOKUP(G92&amp;LOWER(E92), Formeln!$H$2:$K$30, 3, FALSE), "Siegerurkunde", "Teilnehmerurkunde")), "Keine Urkunde"))</f>
        <v>Siegerurkunde</v>
      </c>
      <c r="T92" s="14">
        <f t="shared" si="10"/>
        <v>2.4</v>
      </c>
    </row>
    <row r="93" ht="19.5" hidden="1" customHeight="1">
      <c r="A93" s="15" t="str">
        <f>IF(ASV_Daten!A72="","",ASV_Daten!A72)</f>
        <v>R6A</v>
      </c>
      <c r="B93" s="15" t="str">
        <f>IF(ASV_Daten!B72="","",ASV_Daten!B72)</f>
        <v>Böcke</v>
      </c>
      <c r="C93" s="15" t="str">
        <f>IF(ASV_Daten!C72="","",ASV_Daten!C72)</f>
        <v>Maximilian</v>
      </c>
      <c r="D93" s="15">
        <f>IF(ASV_Daten!D72="","",ASV_Daten!D72)</f>
        <v>2014</v>
      </c>
      <c r="E93" s="15" t="str">
        <f>IF(ASV_Daten!E72="","",ASV_Daten!E72)</f>
        <v>M</v>
      </c>
      <c r="F93" s="16" t="str">
        <f t="shared" si="1"/>
        <v>6</v>
      </c>
      <c r="G93" s="17">
        <f t="shared" si="2"/>
        <v>12</v>
      </c>
      <c r="H93" s="19"/>
      <c r="I93" s="19">
        <f t="shared" si="3"/>
        <v>0</v>
      </c>
      <c r="J93" s="20">
        <v>8.4</v>
      </c>
      <c r="K93" s="19">
        <f t="shared" si="4"/>
        <v>289</v>
      </c>
      <c r="L93" s="20">
        <v>4.01</v>
      </c>
      <c r="M93" s="19">
        <f t="shared" si="5"/>
        <v>389</v>
      </c>
      <c r="N93" s="20">
        <v>31.0</v>
      </c>
      <c r="O93" s="19">
        <f t="shared" si="6"/>
        <v>251</v>
      </c>
      <c r="P93" s="19" t="str">
        <f t="shared" si="7"/>
        <v>Punkte M 5-6</v>
      </c>
      <c r="Q93" s="19" t="str">
        <f t="shared" si="8"/>
        <v>Noten-Matrix-Jungen</v>
      </c>
      <c r="R93" s="21">
        <f t="shared" si="9"/>
        <v>929</v>
      </c>
      <c r="S93" s="19" t="str">
        <f>IF(R93=0, "Keine Teilnahme", IFERROR(IF(R93&gt;=VLOOKUP(G93&amp;LOWER(E93), Formeln!$H$2:$K$30, 4, FALSE), "Ehrenurkunde", IF(R93&gt;=VLOOKUP(G93&amp;LOWER(E93), Formeln!$H$2:$K$30, 3, FALSE), "Siegerurkunde", "Teilnehmerurkunde")), "Keine Urkunde"))</f>
        <v>Siegerurkunde</v>
      </c>
      <c r="T93" s="22">
        <f t="shared" si="10"/>
        <v>1.8</v>
      </c>
    </row>
    <row r="94" ht="19.5" hidden="1" customHeight="1">
      <c r="A94" s="7" t="str">
        <f>IF(ASV_Daten!A99="","",ASV_Daten!A99)</f>
        <v>R6A</v>
      </c>
      <c r="B94" s="7" t="str">
        <f>IF(ASV_Daten!B99="","",ASV_Daten!B99)</f>
        <v>Sigwart</v>
      </c>
      <c r="C94" s="7" t="str">
        <f>IF(ASV_Daten!C99="","",ASV_Daten!C99)</f>
        <v>Maximilian</v>
      </c>
      <c r="D94" s="7">
        <f>IF(ASV_Daten!D99="","",ASV_Daten!D99)</f>
        <v>2014</v>
      </c>
      <c r="E94" s="7" t="str">
        <f>IF(ASV_Daten!E99="","",ASV_Daten!E99)</f>
        <v>M</v>
      </c>
      <c r="F94" s="8" t="str">
        <f t="shared" si="1"/>
        <v>6</v>
      </c>
      <c r="G94" s="9">
        <f t="shared" si="2"/>
        <v>12</v>
      </c>
      <c r="H94" s="11"/>
      <c r="I94" s="11">
        <f t="shared" si="3"/>
        <v>0</v>
      </c>
      <c r="J94" s="12">
        <v>8.4</v>
      </c>
      <c r="K94" s="11">
        <f t="shared" si="4"/>
        <v>289</v>
      </c>
      <c r="L94" s="12">
        <v>3.45</v>
      </c>
      <c r="M94" s="11">
        <f t="shared" si="5"/>
        <v>322</v>
      </c>
      <c r="N94" s="12">
        <v>27.5</v>
      </c>
      <c r="O94" s="11">
        <f t="shared" si="6"/>
        <v>222</v>
      </c>
      <c r="P94" s="11" t="str">
        <f t="shared" si="7"/>
        <v>Punkte M 5-6</v>
      </c>
      <c r="Q94" s="11" t="str">
        <f t="shared" si="8"/>
        <v>Noten-Matrix-Jungen</v>
      </c>
      <c r="R94" s="13">
        <f t="shared" si="9"/>
        <v>833</v>
      </c>
      <c r="S94" s="11" t="str">
        <f>IF(R94=0, "Keine Teilnahme", IFERROR(IF(R94&gt;=VLOOKUP(G94&amp;LOWER(E94), Formeln!$H$2:$K$30, 4, FALSE), "Ehrenurkunde", IF(R94&gt;=VLOOKUP(G94&amp;LOWER(E94), Formeln!$H$2:$K$30, 3, FALSE), "Siegerurkunde", "Teilnehmerurkunde")), "Keine Urkunde"))</f>
        <v>Siegerurkunde</v>
      </c>
      <c r="T94" s="14">
        <f t="shared" si="10"/>
        <v>2.3</v>
      </c>
    </row>
    <row r="95" ht="19.5" hidden="1" customHeight="1">
      <c r="A95" s="15" t="str">
        <f>IF(ASV_Daten!A73="","",ASV_Daten!A73)</f>
        <v>R6A</v>
      </c>
      <c r="B95" s="15" t="str">
        <f>IF(ASV_Daten!B73="","",ASV_Daten!B73)</f>
        <v>Chahine</v>
      </c>
      <c r="C95" s="15" t="str">
        <f>IF(ASV_Daten!C73="","",ASV_Daten!C73)</f>
        <v>Mila</v>
      </c>
      <c r="D95" s="15">
        <f>IF(ASV_Daten!D73="","",ASV_Daten!D73)</f>
        <v>2014</v>
      </c>
      <c r="E95" s="15" t="str">
        <f>IF(ASV_Daten!E73="","",ASV_Daten!E73)</f>
        <v>W</v>
      </c>
      <c r="F95" s="16" t="str">
        <f t="shared" si="1"/>
        <v>6</v>
      </c>
      <c r="G95" s="17">
        <f t="shared" si="2"/>
        <v>12</v>
      </c>
      <c r="H95" s="19"/>
      <c r="I95" s="19">
        <f t="shared" si="3"/>
        <v>0</v>
      </c>
      <c r="J95" s="20">
        <v>7.6</v>
      </c>
      <c r="K95" s="19">
        <f t="shared" si="4"/>
        <v>413</v>
      </c>
      <c r="L95" s="20">
        <v>3.97</v>
      </c>
      <c r="M95" s="19">
        <f t="shared" si="5"/>
        <v>432</v>
      </c>
      <c r="N95" s="20">
        <v>21.0</v>
      </c>
      <c r="O95" s="19">
        <f t="shared" si="6"/>
        <v>292</v>
      </c>
      <c r="P95" s="19" t="str">
        <f t="shared" si="7"/>
        <v>Punkte W 5-6</v>
      </c>
      <c r="Q95" s="19" t="str">
        <f t="shared" si="8"/>
        <v>Noten-Matrix-Mädchen</v>
      </c>
      <c r="R95" s="21">
        <f t="shared" si="9"/>
        <v>1137</v>
      </c>
      <c r="S95" s="19" t="str">
        <f>IF(R95=0, "Keine Teilnahme", IFERROR(IF(R95&gt;=VLOOKUP(G95&amp;LOWER(E95), Formeln!$H$2:$K$30, 4, FALSE), "Ehrenurkunde", IF(R95&gt;=VLOOKUP(G95&amp;LOWER(E95), Formeln!$H$2:$K$30, 3, FALSE), "Siegerurkunde", "Teilnehmerurkunde")), "Keine Urkunde"))</f>
        <v>Ehrenurkunde</v>
      </c>
      <c r="T95" s="22">
        <f t="shared" si="10"/>
        <v>1</v>
      </c>
    </row>
    <row r="96" ht="19.5" hidden="1" customHeight="1">
      <c r="A96" s="7" t="str">
        <f>IF(ASV_Daten!A93="","",ASV_Daten!A93)</f>
        <v>R6A</v>
      </c>
      <c r="B96" s="7" t="str">
        <f>IF(ASV_Daten!B93="","",ASV_Daten!B93)</f>
        <v>Koop</v>
      </c>
      <c r="C96" s="7" t="str">
        <f>IF(ASV_Daten!C93="","",ASV_Daten!C93)</f>
        <v>Nicole</v>
      </c>
      <c r="D96" s="7">
        <f>IF(ASV_Daten!D93="","",ASV_Daten!D93)</f>
        <v>2014</v>
      </c>
      <c r="E96" s="7" t="str">
        <f>IF(ASV_Daten!E93="","",ASV_Daten!E93)</f>
        <v>W</v>
      </c>
      <c r="F96" s="8" t="str">
        <f t="shared" si="1"/>
        <v>6</v>
      </c>
      <c r="G96" s="9">
        <f t="shared" si="2"/>
        <v>12</v>
      </c>
      <c r="H96" s="11"/>
      <c r="I96" s="11">
        <f t="shared" si="3"/>
        <v>0</v>
      </c>
      <c r="J96" s="12">
        <v>8.8</v>
      </c>
      <c r="K96" s="11">
        <f t="shared" si="4"/>
        <v>285</v>
      </c>
      <c r="L96" s="12">
        <v>3.65</v>
      </c>
      <c r="M96" s="11">
        <f t="shared" si="5"/>
        <v>392</v>
      </c>
      <c r="N96" s="12">
        <v>17.0</v>
      </c>
      <c r="O96" s="11">
        <f t="shared" si="6"/>
        <v>240</v>
      </c>
      <c r="P96" s="11" t="str">
        <f t="shared" si="7"/>
        <v>Punkte W 5-6</v>
      </c>
      <c r="Q96" s="11" t="str">
        <f t="shared" si="8"/>
        <v>Noten-Matrix-Mädchen</v>
      </c>
      <c r="R96" s="13">
        <f t="shared" si="9"/>
        <v>917</v>
      </c>
      <c r="S96" s="11" t="str">
        <f>IF(R96=0, "Keine Teilnahme", IFERROR(IF(R96&gt;=VLOOKUP(G96&amp;LOWER(E96), Formeln!$H$2:$K$30, 4, FALSE), "Ehrenurkunde", IF(R96&gt;=VLOOKUP(G96&amp;LOWER(E96), Formeln!$H$2:$K$30, 3, FALSE), "Siegerurkunde", "Teilnehmerurkunde")), "Keine Urkunde"))</f>
        <v>Siegerurkunde</v>
      </c>
      <c r="T96" s="14">
        <f t="shared" si="10"/>
        <v>1.8</v>
      </c>
    </row>
    <row r="97" ht="19.5" hidden="1" customHeight="1">
      <c r="A97" s="15" t="str">
        <f>IF(ASV_Daten!A95="","",ASV_Daten!A95)</f>
        <v>R6A</v>
      </c>
      <c r="B97" s="15" t="str">
        <f>IF(ASV_Daten!B95="","",ASV_Daten!B95)</f>
        <v>Mainka</v>
      </c>
      <c r="C97" s="15" t="str">
        <f>IF(ASV_Daten!C95="","",ASV_Daten!C95)</f>
        <v>Paulina</v>
      </c>
      <c r="D97" s="15">
        <f>IF(ASV_Daten!D95="","",ASV_Daten!D95)</f>
        <v>2014</v>
      </c>
      <c r="E97" s="15" t="str">
        <f>IF(ASV_Daten!E95="","",ASV_Daten!E95)</f>
        <v>W</v>
      </c>
      <c r="F97" s="16" t="str">
        <f t="shared" si="1"/>
        <v>6</v>
      </c>
      <c r="G97" s="17">
        <f t="shared" si="2"/>
        <v>12</v>
      </c>
      <c r="H97" s="19"/>
      <c r="I97" s="19">
        <f t="shared" si="3"/>
        <v>0</v>
      </c>
      <c r="J97" s="20">
        <v>8.2</v>
      </c>
      <c r="K97" s="19">
        <f t="shared" si="4"/>
        <v>344</v>
      </c>
      <c r="L97" s="20">
        <v>3.73</v>
      </c>
      <c r="M97" s="19">
        <f t="shared" si="5"/>
        <v>402</v>
      </c>
      <c r="N97" s="20">
        <v>18.5</v>
      </c>
      <c r="O97" s="19">
        <f t="shared" si="6"/>
        <v>260</v>
      </c>
      <c r="P97" s="19" t="str">
        <f t="shared" si="7"/>
        <v>Punkte W 5-6</v>
      </c>
      <c r="Q97" s="19" t="str">
        <f t="shared" si="8"/>
        <v>Noten-Matrix-Mädchen</v>
      </c>
      <c r="R97" s="21">
        <f t="shared" si="9"/>
        <v>1006</v>
      </c>
      <c r="S97" s="19" t="str">
        <f>IF(R97=0, "Keine Teilnahme", IFERROR(IF(R97&gt;=VLOOKUP(G97&amp;LOWER(E97), Formeln!$H$2:$K$30, 4, FALSE), "Ehrenurkunde", IF(R97&gt;=VLOOKUP(G97&amp;LOWER(E97), Formeln!$H$2:$K$30, 3, FALSE), "Siegerurkunde", "Teilnehmerurkunde")), "Keine Urkunde"))</f>
        <v>Ehrenurkunde</v>
      </c>
      <c r="T97" s="22">
        <f t="shared" si="10"/>
        <v>1.4</v>
      </c>
    </row>
    <row r="98" ht="19.5" hidden="1" customHeight="1">
      <c r="A98" s="7" t="str">
        <f>IF(ASV_Daten!A76="","",ASV_Daten!A76)</f>
        <v>R6A</v>
      </c>
      <c r="B98" s="7" t="str">
        <f>IF(ASV_Daten!B76="","",ASV_Daten!B76)</f>
        <v>Dudnyk</v>
      </c>
      <c r="C98" s="7" t="str">
        <f>IF(ASV_Daten!C76="","",ASV_Daten!C76)</f>
        <v>Pavlo</v>
      </c>
      <c r="D98" s="7">
        <f>IF(ASV_Daten!D76="","",ASV_Daten!D76)</f>
        <v>2013</v>
      </c>
      <c r="E98" s="7" t="str">
        <f>IF(ASV_Daten!E76="","",ASV_Daten!E76)</f>
        <v>M</v>
      </c>
      <c r="F98" s="8" t="str">
        <f t="shared" si="1"/>
        <v>6</v>
      </c>
      <c r="G98" s="9">
        <f t="shared" si="2"/>
        <v>13</v>
      </c>
      <c r="H98" s="11"/>
      <c r="I98" s="11">
        <f t="shared" si="3"/>
        <v>0</v>
      </c>
      <c r="J98" s="11"/>
      <c r="K98" s="11">
        <f t="shared" si="4"/>
        <v>0</v>
      </c>
      <c r="L98" s="11"/>
      <c r="M98" s="11">
        <f t="shared" si="5"/>
        <v>0</v>
      </c>
      <c r="N98" s="11"/>
      <c r="O98" s="11">
        <f t="shared" si="6"/>
        <v>0</v>
      </c>
      <c r="P98" s="11" t="str">
        <f t="shared" si="7"/>
        <v>Punkte M 5-6</v>
      </c>
      <c r="Q98" s="11" t="str">
        <f t="shared" si="8"/>
        <v>Noten-Matrix-Jungen</v>
      </c>
      <c r="R98" s="13">
        <f t="shared" si="9"/>
        <v>0</v>
      </c>
      <c r="S98" s="11" t="str">
        <f>IF(R98=0, "Keine Teilnahme", IFERROR(IF(R98&gt;=VLOOKUP(G98&amp;LOWER(E98), Formeln!$H$2:$K$30, 4, FALSE), "Ehrenurkunde", IF(R98&gt;=VLOOKUP(G98&amp;LOWER(E98), Formeln!$H$2:$K$30, 3, FALSE), "Siegerurkunde", "Teilnehmerurkunde")), "Keine Urkunde"))</f>
        <v>Keine Teilnahme</v>
      </c>
      <c r="T98" s="14" t="str">
        <f t="shared" si="10"/>
        <v>Keine Teilnahme</v>
      </c>
    </row>
    <row r="99" ht="19.5" hidden="1" customHeight="1">
      <c r="A99" s="15" t="str">
        <f>IF(ASV_Daten!A78="","",ASV_Daten!A78)</f>
        <v>R6A</v>
      </c>
      <c r="B99" s="15" t="str">
        <f>IF(ASV_Daten!B78="","",ASV_Daten!B78)</f>
        <v>Eckert</v>
      </c>
      <c r="C99" s="15" t="str">
        <f>IF(ASV_Daten!C78="","",ASV_Daten!C78)</f>
        <v>Ramona</v>
      </c>
      <c r="D99" s="15">
        <f>IF(ASV_Daten!D78="","",ASV_Daten!D78)</f>
        <v>2014</v>
      </c>
      <c r="E99" s="15" t="str">
        <f>IF(ASV_Daten!E78="","",ASV_Daten!E78)</f>
        <v>W</v>
      </c>
      <c r="F99" s="16" t="str">
        <f t="shared" si="1"/>
        <v>6</v>
      </c>
      <c r="G99" s="17">
        <f t="shared" si="2"/>
        <v>12</v>
      </c>
      <c r="H99" s="19"/>
      <c r="I99" s="19">
        <f t="shared" si="3"/>
        <v>0</v>
      </c>
      <c r="J99" s="20">
        <v>8.5</v>
      </c>
      <c r="K99" s="19">
        <f t="shared" si="4"/>
        <v>314</v>
      </c>
      <c r="L99" s="20">
        <v>3.01</v>
      </c>
      <c r="M99" s="19">
        <f t="shared" si="5"/>
        <v>308</v>
      </c>
      <c r="N99" s="20">
        <v>16.0</v>
      </c>
      <c r="O99" s="19">
        <f t="shared" si="6"/>
        <v>226</v>
      </c>
      <c r="P99" s="19" t="str">
        <f t="shared" si="7"/>
        <v>Punkte W 5-6</v>
      </c>
      <c r="Q99" s="19" t="str">
        <f t="shared" si="8"/>
        <v>Noten-Matrix-Mädchen</v>
      </c>
      <c r="R99" s="21">
        <f t="shared" si="9"/>
        <v>848</v>
      </c>
      <c r="S99" s="19" t="str">
        <f>IF(R99=0, "Keine Teilnahme", IFERROR(IF(R99&gt;=VLOOKUP(G99&amp;LOWER(E99), Formeln!$H$2:$K$30, 4, FALSE), "Ehrenurkunde", IF(R99&gt;=VLOOKUP(G99&amp;LOWER(E99), Formeln!$H$2:$K$30, 3, FALSE), "Siegerurkunde", "Teilnehmerurkunde")), "Keine Urkunde"))</f>
        <v>Siegerurkunde</v>
      </c>
      <c r="T99" s="22">
        <f t="shared" si="10"/>
        <v>2.3</v>
      </c>
    </row>
    <row r="100" ht="19.5" hidden="1" customHeight="1">
      <c r="A100" s="7" t="str">
        <f>IF(ASV_Daten!A96="","",ASV_Daten!A96)</f>
        <v>R6A</v>
      </c>
      <c r="B100" s="7" t="str">
        <f>IF(ASV_Daten!B96="","",ASV_Daten!B96)</f>
        <v>Saggiomo</v>
      </c>
      <c r="C100" s="7" t="str">
        <f>IF(ASV_Daten!C96="","",ASV_Daten!C96)</f>
        <v>Sofia</v>
      </c>
      <c r="D100" s="7">
        <f>IF(ASV_Daten!D96="","",ASV_Daten!D96)</f>
        <v>2014</v>
      </c>
      <c r="E100" s="7" t="str">
        <f>IF(ASV_Daten!E96="","",ASV_Daten!E96)</f>
        <v>W</v>
      </c>
      <c r="F100" s="8" t="str">
        <f t="shared" si="1"/>
        <v>6</v>
      </c>
      <c r="G100" s="9">
        <f t="shared" si="2"/>
        <v>12</v>
      </c>
      <c r="H100" s="27"/>
      <c r="I100" s="11">
        <f t="shared" si="3"/>
        <v>0</v>
      </c>
      <c r="J100" s="11"/>
      <c r="K100" s="11">
        <f t="shared" si="4"/>
        <v>0</v>
      </c>
      <c r="L100" s="12">
        <v>3.09</v>
      </c>
      <c r="M100" s="11">
        <f t="shared" si="5"/>
        <v>319</v>
      </c>
      <c r="N100" s="12">
        <v>21.0</v>
      </c>
      <c r="O100" s="11">
        <f t="shared" si="6"/>
        <v>292</v>
      </c>
      <c r="P100" s="11" t="str">
        <f t="shared" si="7"/>
        <v>Punkte W 5-6</v>
      </c>
      <c r="Q100" s="11" t="str">
        <f t="shared" si="8"/>
        <v>Noten-Matrix-Mädchen</v>
      </c>
      <c r="R100" s="13">
        <f t="shared" si="9"/>
        <v>611</v>
      </c>
      <c r="S100" s="11" t="str">
        <f>IF(R100=0, "Keine Teilnahme", IFERROR(IF(R100&gt;=VLOOKUP(G100&amp;LOWER(E100), Formeln!$H$2:$K$30, 4, FALSE), "Ehrenurkunde", IF(R100&gt;=VLOOKUP(G100&amp;LOWER(E100), Formeln!$H$2:$K$30, 3, FALSE), "Siegerurkunde", "Teilnehmerurkunde")), "Keine Urkunde"))</f>
        <v>Teilnehmerurkunde</v>
      </c>
      <c r="T100" s="14">
        <f t="shared" si="10"/>
        <v>4</v>
      </c>
    </row>
    <row r="101" ht="19.5" hidden="1" customHeight="1">
      <c r="A101" s="15" t="str">
        <f>IF(ASV_Daten!A88="","",ASV_Daten!A88)</f>
        <v>R6A</v>
      </c>
      <c r="B101" s="15" t="str">
        <f>IF(ASV_Daten!B88="","",ASV_Daten!B88)</f>
        <v>Ketterer</v>
      </c>
      <c r="C101" s="15" t="str">
        <f>IF(ASV_Daten!C88="","",ASV_Daten!C88)</f>
        <v>Timo</v>
      </c>
      <c r="D101" s="15">
        <f>IF(ASV_Daten!D88="","",ASV_Daten!D88)</f>
        <v>2014</v>
      </c>
      <c r="E101" s="15" t="str">
        <f>IF(ASV_Daten!E88="","",ASV_Daten!E88)</f>
        <v>M</v>
      </c>
      <c r="F101" s="16" t="str">
        <f t="shared" si="1"/>
        <v>6</v>
      </c>
      <c r="G101" s="17">
        <f t="shared" si="2"/>
        <v>12</v>
      </c>
      <c r="H101" s="19"/>
      <c r="I101" s="19">
        <f t="shared" si="3"/>
        <v>0</v>
      </c>
      <c r="J101" s="32">
        <v>46120.0</v>
      </c>
      <c r="K101" s="19">
        <f t="shared" si="4"/>
        <v>0</v>
      </c>
      <c r="L101" s="20">
        <v>3.65</v>
      </c>
      <c r="M101" s="19">
        <f t="shared" si="5"/>
        <v>347</v>
      </c>
      <c r="N101" s="20">
        <v>29.0</v>
      </c>
      <c r="O101" s="19">
        <f t="shared" si="6"/>
        <v>235</v>
      </c>
      <c r="P101" s="19" t="str">
        <f t="shared" si="7"/>
        <v>Punkte M 5-6</v>
      </c>
      <c r="Q101" s="19" t="str">
        <f t="shared" si="8"/>
        <v>Noten-Matrix-Jungen</v>
      </c>
      <c r="R101" s="21">
        <f t="shared" si="9"/>
        <v>582</v>
      </c>
      <c r="S101" s="19" t="str">
        <f>IF(R101=0, "Keine Teilnahme", IFERROR(IF(R101&gt;=VLOOKUP(G101&amp;LOWER(E101), Formeln!$H$2:$K$30, 4, FALSE), "Ehrenurkunde", IF(R101&gt;=VLOOKUP(G101&amp;LOWER(E101), Formeln!$H$2:$K$30, 3, FALSE), "Siegerurkunde", "Teilnehmerurkunde")), "Keine Urkunde"))</f>
        <v>Teilnehmerurkunde</v>
      </c>
      <c r="T101" s="22">
        <f t="shared" si="10"/>
        <v>4</v>
      </c>
    </row>
    <row r="102" ht="19.5" hidden="1" customHeight="1">
      <c r="A102" s="7" t="str">
        <f>IF(ASV_Daten!A79="","",ASV_Daten!A79)</f>
        <v>R6A</v>
      </c>
      <c r="B102" s="7" t="str">
        <f>IF(ASV_Daten!B79="","",ASV_Daten!B79)</f>
        <v>Fanari</v>
      </c>
      <c r="C102" s="7" t="str">
        <f>IF(ASV_Daten!C79="","",ASV_Daten!C79)</f>
        <v>Vlada</v>
      </c>
      <c r="D102" s="7">
        <f>IF(ASV_Daten!D79="","",ASV_Daten!D79)</f>
        <v>2013</v>
      </c>
      <c r="E102" s="7" t="str">
        <f>IF(ASV_Daten!E79="","",ASV_Daten!E79)</f>
        <v>W</v>
      </c>
      <c r="F102" s="8" t="str">
        <f t="shared" si="1"/>
        <v>6</v>
      </c>
      <c r="G102" s="9">
        <f t="shared" si="2"/>
        <v>13</v>
      </c>
      <c r="H102" s="11"/>
      <c r="I102" s="11">
        <f t="shared" si="3"/>
        <v>0</v>
      </c>
      <c r="J102" s="12">
        <v>8.01</v>
      </c>
      <c r="K102" s="11">
        <f t="shared" si="4"/>
        <v>355</v>
      </c>
      <c r="L102" s="12">
        <v>3.65</v>
      </c>
      <c r="M102" s="11">
        <f t="shared" si="5"/>
        <v>392</v>
      </c>
      <c r="N102" s="12">
        <v>15.0</v>
      </c>
      <c r="O102" s="11">
        <f t="shared" si="6"/>
        <v>211</v>
      </c>
      <c r="P102" s="11" t="str">
        <f t="shared" si="7"/>
        <v>Punkte W 5-6</v>
      </c>
      <c r="Q102" s="11" t="str">
        <f t="shared" si="8"/>
        <v>Noten-Matrix-Mädchen</v>
      </c>
      <c r="R102" s="13">
        <f t="shared" si="9"/>
        <v>958</v>
      </c>
      <c r="S102" s="11" t="str">
        <f>IF(R102=0, "Keine Teilnahme", IFERROR(IF(R102&gt;=VLOOKUP(G102&amp;LOWER(E102), Formeln!$H$2:$K$30, 4, FALSE), "Ehrenurkunde", IF(R102&gt;=VLOOKUP(G102&amp;LOWER(E102), Formeln!$H$2:$K$30, 3, FALSE), "Siegerurkunde", "Teilnehmerurkunde")), "Keine Urkunde"))</f>
        <v>Siegerurkunde</v>
      </c>
      <c r="T102" s="14">
        <f t="shared" si="10"/>
        <v>1.9</v>
      </c>
    </row>
    <row r="103" ht="19.5" customHeight="1">
      <c r="A103" s="15" t="str">
        <f>IF(ASV_Daten!A123="","",ASV_Daten!A123)</f>
        <v>R6B</v>
      </c>
      <c r="B103" s="15" t="str">
        <f>IF(ASV_Daten!B123="","",ASV_Daten!B123)</f>
        <v>Rombach</v>
      </c>
      <c r="C103" s="15" t="str">
        <f>IF(ASV_Daten!C123="","",ASV_Daten!C123)</f>
        <v>Amelie</v>
      </c>
      <c r="D103" s="15">
        <f>IF(ASV_Daten!D123="","",ASV_Daten!D123)</f>
        <v>2014</v>
      </c>
      <c r="E103" s="15" t="str">
        <f>IF(ASV_Daten!E123="","",ASV_Daten!E123)</f>
        <v>W</v>
      </c>
      <c r="F103" s="16" t="str">
        <f t="shared" si="1"/>
        <v>6</v>
      </c>
      <c r="G103" s="17">
        <f t="shared" si="2"/>
        <v>12</v>
      </c>
      <c r="H103" s="19"/>
      <c r="I103" s="19">
        <f t="shared" si="3"/>
        <v>0</v>
      </c>
      <c r="J103" s="20">
        <v>9.8</v>
      </c>
      <c r="K103" s="19">
        <f t="shared" si="4"/>
        <v>201</v>
      </c>
      <c r="L103" s="20">
        <v>2.53</v>
      </c>
      <c r="M103" s="19">
        <f t="shared" si="5"/>
        <v>238</v>
      </c>
      <c r="N103" s="20">
        <v>15.5</v>
      </c>
      <c r="O103" s="19">
        <f t="shared" si="6"/>
        <v>218</v>
      </c>
      <c r="P103" s="19" t="str">
        <f t="shared" si="7"/>
        <v>Punkte W 5-6</v>
      </c>
      <c r="Q103" s="19" t="str">
        <f t="shared" si="8"/>
        <v>Noten-Matrix-Mädchen</v>
      </c>
      <c r="R103" s="21">
        <f t="shared" si="9"/>
        <v>657</v>
      </c>
      <c r="S103" s="19" t="str">
        <f>IF(R103=0, "Keine Teilnahme", IFERROR(IF(R103&gt;=VLOOKUP(G103&amp;LOWER(E103), Formeln!$H$2:$K$30, 4, FALSE), "Ehrenurkunde", IF(R103&gt;=VLOOKUP(G103&amp;LOWER(E103), Formeln!$H$2:$K$30, 3, FALSE), "Siegerurkunde", "Teilnehmerurkunde")), "Keine Urkunde"))</f>
        <v>Teilnehmerurkunde</v>
      </c>
      <c r="T103" s="22">
        <f t="shared" si="10"/>
        <v>3.5</v>
      </c>
    </row>
    <row r="104" ht="19.5" customHeight="1">
      <c r="A104" s="7" t="str">
        <f>IF(ASV_Daten!A105="","",ASV_Daten!A105)</f>
        <v>R6B</v>
      </c>
      <c r="B104" s="7" t="str">
        <f>IF(ASV_Daten!B105="","",ASV_Daten!B105)</f>
        <v>Elsner</v>
      </c>
      <c r="C104" s="7" t="str">
        <f>IF(ASV_Daten!C105="","",ASV_Daten!C105)</f>
        <v>Amy</v>
      </c>
      <c r="D104" s="7">
        <f>IF(ASV_Daten!D105="","",ASV_Daten!D105)</f>
        <v>2014</v>
      </c>
      <c r="E104" s="7" t="str">
        <f>IF(ASV_Daten!E105="","",ASV_Daten!E105)</f>
        <v>W</v>
      </c>
      <c r="F104" s="8" t="str">
        <f t="shared" si="1"/>
        <v>6</v>
      </c>
      <c r="G104" s="9">
        <f t="shared" si="2"/>
        <v>12</v>
      </c>
      <c r="H104" s="10">
        <v>0.19722222222222222</v>
      </c>
      <c r="I104" s="11">
        <f t="shared" si="3"/>
        <v>121</v>
      </c>
      <c r="J104" s="12"/>
      <c r="K104" s="11">
        <f t="shared" si="4"/>
        <v>0</v>
      </c>
      <c r="L104" s="12">
        <v>3.09</v>
      </c>
      <c r="M104" s="11">
        <f t="shared" si="5"/>
        <v>319</v>
      </c>
      <c r="N104" s="12">
        <v>12.0</v>
      </c>
      <c r="O104" s="11">
        <f t="shared" si="6"/>
        <v>164</v>
      </c>
      <c r="P104" s="11" t="str">
        <f t="shared" si="7"/>
        <v>Punkte W 5-6</v>
      </c>
      <c r="Q104" s="11" t="str">
        <f t="shared" si="8"/>
        <v>Noten-Matrix-Mädchen</v>
      </c>
      <c r="R104" s="13">
        <f t="shared" si="9"/>
        <v>604</v>
      </c>
      <c r="S104" s="11" t="str">
        <f>IF(R104=0, "Keine Teilnahme", IFERROR(IF(R104&gt;=VLOOKUP(G104&amp;LOWER(E104), Formeln!$H$2:$K$30, 4, FALSE), "Ehrenurkunde", IF(R104&gt;=VLOOKUP(G104&amp;LOWER(E104), Formeln!$H$2:$K$30, 3, FALSE), "Siegerurkunde", "Teilnehmerurkunde")), "Keine Urkunde"))</f>
        <v>Teilnehmerurkunde</v>
      </c>
      <c r="T104" s="14">
        <f t="shared" si="10"/>
        <v>4.1</v>
      </c>
    </row>
    <row r="105" ht="19.5" customHeight="1">
      <c r="A105" s="15" t="str">
        <f>IF(ASV_Daten!A109="","",ASV_Daten!A109)</f>
        <v>R6B</v>
      </c>
      <c r="B105" s="15" t="str">
        <f>IF(ASV_Daten!B109="","",ASV_Daten!B109)</f>
        <v>Hejri</v>
      </c>
      <c r="C105" s="15" t="str">
        <f>IF(ASV_Daten!C109="","",ASV_Daten!C109)</f>
        <v>Asma</v>
      </c>
      <c r="D105" s="15">
        <f>IF(ASV_Daten!D109="","",ASV_Daten!D109)</f>
        <v>2013</v>
      </c>
      <c r="E105" s="15" t="str">
        <f>IF(ASV_Daten!E109="","",ASV_Daten!E109)</f>
        <v>W</v>
      </c>
      <c r="F105" s="16" t="str">
        <f t="shared" si="1"/>
        <v>6</v>
      </c>
      <c r="G105" s="17">
        <f t="shared" si="2"/>
        <v>13</v>
      </c>
      <c r="H105" s="19"/>
      <c r="I105" s="19">
        <f t="shared" si="3"/>
        <v>0</v>
      </c>
      <c r="J105" s="20">
        <v>8.6</v>
      </c>
      <c r="K105" s="19">
        <f t="shared" si="4"/>
        <v>304</v>
      </c>
      <c r="L105" s="20">
        <v>3.25</v>
      </c>
      <c r="M105" s="19">
        <f t="shared" si="5"/>
        <v>340</v>
      </c>
      <c r="N105" s="20">
        <v>17.5</v>
      </c>
      <c r="O105" s="19">
        <f t="shared" si="6"/>
        <v>247</v>
      </c>
      <c r="P105" s="19" t="str">
        <f t="shared" si="7"/>
        <v>Punkte W 5-6</v>
      </c>
      <c r="Q105" s="19" t="str">
        <f t="shared" si="8"/>
        <v>Noten-Matrix-Mädchen</v>
      </c>
      <c r="R105" s="21">
        <f t="shared" si="9"/>
        <v>891</v>
      </c>
      <c r="S105" s="19" t="str">
        <f>IF(R105=0, "Keine Teilnahme", IFERROR(IF(R105&gt;=VLOOKUP(G105&amp;LOWER(E105), Formeln!$H$2:$K$30, 4, FALSE), "Ehrenurkunde", IF(R105&gt;=VLOOKUP(G105&amp;LOWER(E105), Formeln!$H$2:$K$30, 3, FALSE), "Siegerurkunde", "Teilnehmerurkunde")), "Keine Urkunde"))</f>
        <v>Siegerurkunde</v>
      </c>
      <c r="T105" s="22">
        <f t="shared" si="10"/>
        <v>2.3</v>
      </c>
    </row>
    <row r="106" ht="19.5" customHeight="1">
      <c r="A106" s="7" t="str">
        <f>IF(ASV_Daten!A102="","",ASV_Daten!A102)</f>
        <v>R6B</v>
      </c>
      <c r="B106" s="7" t="str">
        <f>IF(ASV_Daten!B102="","",ASV_Daten!B102)</f>
        <v>Adisa</v>
      </c>
      <c r="C106" s="7" t="str">
        <f>IF(ASV_Daten!C102="","",ASV_Daten!C102)</f>
        <v>Ayomide</v>
      </c>
      <c r="D106" s="7">
        <f>IF(ASV_Daten!D102="","",ASV_Daten!D102)</f>
        <v>2013</v>
      </c>
      <c r="E106" s="7" t="str">
        <f>IF(ASV_Daten!E102="","",ASV_Daten!E102)</f>
        <v>M</v>
      </c>
      <c r="F106" s="8" t="str">
        <f t="shared" si="1"/>
        <v>6</v>
      </c>
      <c r="G106" s="9">
        <f t="shared" si="2"/>
        <v>13</v>
      </c>
      <c r="H106" s="11"/>
      <c r="I106" s="11">
        <f t="shared" si="3"/>
        <v>0</v>
      </c>
      <c r="J106" s="12">
        <v>8.1</v>
      </c>
      <c r="K106" s="11">
        <f t="shared" si="4"/>
        <v>319</v>
      </c>
      <c r="L106" s="12">
        <v>3.53</v>
      </c>
      <c r="M106" s="11">
        <f t="shared" si="5"/>
        <v>332</v>
      </c>
      <c r="N106" s="12">
        <v>21.5</v>
      </c>
      <c r="O106" s="11">
        <f t="shared" si="6"/>
        <v>166</v>
      </c>
      <c r="P106" s="11" t="str">
        <f t="shared" si="7"/>
        <v>Punkte M 5-6</v>
      </c>
      <c r="Q106" s="11" t="str">
        <f t="shared" si="8"/>
        <v>Noten-Matrix-Jungen</v>
      </c>
      <c r="R106" s="13">
        <f t="shared" si="9"/>
        <v>817</v>
      </c>
      <c r="S106" s="11" t="str">
        <f>IF(R106=0, "Keine Teilnahme", IFERROR(IF(R106&gt;=VLOOKUP(G106&amp;LOWER(E106), Formeln!$H$2:$K$30, 4, FALSE), "Ehrenurkunde", IF(R106&gt;=VLOOKUP(G106&amp;LOWER(E106), Formeln!$H$2:$K$30, 3, FALSE), "Siegerurkunde", "Teilnehmerurkunde")), "Keine Urkunde"))</f>
        <v>Teilnehmerurkunde</v>
      </c>
      <c r="T106" s="14">
        <f t="shared" si="10"/>
        <v>2.8</v>
      </c>
    </row>
    <row r="107" ht="19.5" customHeight="1">
      <c r="A107" s="15" t="str">
        <f>IF(ASV_Daten!A110="","",ASV_Daten!A110)</f>
        <v>R6B</v>
      </c>
      <c r="B107" s="15" t="str">
        <f>IF(ASV_Daten!B110="","",ASV_Daten!B110)</f>
        <v>Kaufhold</v>
      </c>
      <c r="C107" s="15" t="str">
        <f>IF(ASV_Daten!C110="","",ASV_Daten!C110)</f>
        <v>Cataleya</v>
      </c>
      <c r="D107" s="15">
        <f>IF(ASV_Daten!D110="","",ASV_Daten!D110)</f>
        <v>2014</v>
      </c>
      <c r="E107" s="15" t="str">
        <f>IF(ASV_Daten!E110="","",ASV_Daten!E110)</f>
        <v>W</v>
      </c>
      <c r="F107" s="16" t="str">
        <f t="shared" si="1"/>
        <v>6</v>
      </c>
      <c r="G107" s="17">
        <f t="shared" si="2"/>
        <v>12</v>
      </c>
      <c r="H107" s="19"/>
      <c r="I107" s="19">
        <f t="shared" si="3"/>
        <v>0</v>
      </c>
      <c r="J107" s="20">
        <v>10.3</v>
      </c>
      <c r="K107" s="19">
        <f t="shared" si="4"/>
        <v>166</v>
      </c>
      <c r="L107" s="20">
        <v>2.33</v>
      </c>
      <c r="M107" s="19">
        <f t="shared" si="5"/>
        <v>208</v>
      </c>
      <c r="N107" s="20">
        <v>10.0</v>
      </c>
      <c r="O107" s="19">
        <f t="shared" si="6"/>
        <v>130</v>
      </c>
      <c r="P107" s="19" t="str">
        <f t="shared" si="7"/>
        <v>Punkte W 5-6</v>
      </c>
      <c r="Q107" s="19" t="str">
        <f t="shared" si="8"/>
        <v>Noten-Matrix-Mädchen</v>
      </c>
      <c r="R107" s="21">
        <f t="shared" si="9"/>
        <v>504</v>
      </c>
      <c r="S107" s="19" t="str">
        <f>IF(R107=0, "Keine Teilnahme", IFERROR(IF(R107&gt;=VLOOKUP(G107&amp;LOWER(E107), Formeln!$H$2:$K$30, 4, FALSE), "Ehrenurkunde", IF(R107&gt;=VLOOKUP(G107&amp;LOWER(E107), Formeln!$H$2:$K$30, 3, FALSE), "Siegerurkunde", "Teilnehmerurkunde")), "Keine Urkunde"))</f>
        <v>Teilnehmerurkunde</v>
      </c>
      <c r="T107" s="22" t="str">
        <f t="shared" si="10"/>
        <v>NOTE</v>
      </c>
    </row>
    <row r="108" ht="19.5" customHeight="1">
      <c r="A108" s="7" t="str">
        <f>IF(ASV_Daten!A107="","",ASV_Daten!A107)</f>
        <v>R6B</v>
      </c>
      <c r="B108" s="7" t="str">
        <f>IF(ASV_Daten!B107="","",ASV_Daten!B107)</f>
        <v>Forster</v>
      </c>
      <c r="C108" s="7" t="str">
        <f>IF(ASV_Daten!C107="","",ASV_Daten!C107)</f>
        <v>Christopher</v>
      </c>
      <c r="D108" s="7">
        <f>IF(ASV_Daten!D107="","",ASV_Daten!D107)</f>
        <v>2013</v>
      </c>
      <c r="E108" s="7" t="str">
        <f>IF(ASV_Daten!E107="","",ASV_Daten!E107)</f>
        <v>M</v>
      </c>
      <c r="F108" s="8" t="str">
        <f t="shared" si="1"/>
        <v>6</v>
      </c>
      <c r="G108" s="9">
        <f t="shared" si="2"/>
        <v>13</v>
      </c>
      <c r="H108" s="11"/>
      <c r="I108" s="11">
        <f t="shared" si="3"/>
        <v>0</v>
      </c>
      <c r="J108" s="11"/>
      <c r="K108" s="11">
        <f t="shared" si="4"/>
        <v>0</v>
      </c>
      <c r="L108" s="11"/>
      <c r="M108" s="11">
        <f t="shared" si="5"/>
        <v>0</v>
      </c>
      <c r="N108" s="11"/>
      <c r="O108" s="11">
        <f t="shared" si="6"/>
        <v>0</v>
      </c>
      <c r="P108" s="11" t="str">
        <f t="shared" si="7"/>
        <v>Punkte M 5-6</v>
      </c>
      <c r="Q108" s="11" t="str">
        <f t="shared" si="8"/>
        <v>Noten-Matrix-Jungen</v>
      </c>
      <c r="R108" s="13">
        <f t="shared" si="9"/>
        <v>0</v>
      </c>
      <c r="S108" s="11" t="str">
        <f>IF(R108=0, "Keine Teilnahme", IFERROR(IF(R108&gt;=VLOOKUP(G108&amp;LOWER(E108), Formeln!$H$2:$K$30, 4, FALSE), "Ehrenurkunde", IF(R108&gt;=VLOOKUP(G108&amp;LOWER(E108), Formeln!$H$2:$K$30, 3, FALSE), "Siegerurkunde", "Teilnehmerurkunde")), "Keine Urkunde"))</f>
        <v>Keine Teilnahme</v>
      </c>
      <c r="T108" s="14" t="str">
        <f t="shared" si="10"/>
        <v>Keine Teilnahme</v>
      </c>
    </row>
    <row r="109" ht="19.5" customHeight="1">
      <c r="A109" s="15" t="str">
        <f>IF(ASV_Daten!A131="","",ASV_Daten!A131)</f>
        <v>R6B</v>
      </c>
      <c r="B109" s="15" t="str">
        <f>IF(ASV_Daten!B131="","",ASV_Daten!B131)</f>
        <v>Wehrle</v>
      </c>
      <c r="C109" s="15" t="str">
        <f>IF(ASV_Daten!C131="","",ASV_Daten!C131)</f>
        <v>Corinna</v>
      </c>
      <c r="D109" s="15">
        <f>IF(ASV_Daten!D131="","",ASV_Daten!D131)</f>
        <v>2014</v>
      </c>
      <c r="E109" s="15" t="str">
        <f>IF(ASV_Daten!E131="","",ASV_Daten!E131)</f>
        <v>W</v>
      </c>
      <c r="F109" s="16" t="str">
        <f t="shared" si="1"/>
        <v>6</v>
      </c>
      <c r="G109" s="17">
        <f t="shared" si="2"/>
        <v>12</v>
      </c>
      <c r="H109" s="19"/>
      <c r="I109" s="19">
        <f t="shared" si="3"/>
        <v>0</v>
      </c>
      <c r="J109" s="20">
        <v>9.0</v>
      </c>
      <c r="K109" s="19">
        <f t="shared" si="4"/>
        <v>267</v>
      </c>
      <c r="L109" s="20">
        <v>3.21</v>
      </c>
      <c r="M109" s="19">
        <f t="shared" si="5"/>
        <v>335</v>
      </c>
      <c r="N109" s="20">
        <v>14.0</v>
      </c>
      <c r="O109" s="19">
        <f t="shared" si="6"/>
        <v>196</v>
      </c>
      <c r="P109" s="19" t="str">
        <f t="shared" si="7"/>
        <v>Punkte W 5-6</v>
      </c>
      <c r="Q109" s="19" t="str">
        <f t="shared" si="8"/>
        <v>Noten-Matrix-Mädchen</v>
      </c>
      <c r="R109" s="21">
        <f t="shared" si="9"/>
        <v>798</v>
      </c>
      <c r="S109" s="19" t="str">
        <f>IF(R109=0, "Keine Teilnahme", IFERROR(IF(R109&gt;=VLOOKUP(G109&amp;LOWER(E109), Formeln!$H$2:$K$30, 4, FALSE), "Ehrenurkunde", IF(R109&gt;=VLOOKUP(G109&amp;LOWER(E109), Formeln!$H$2:$K$30, 3, FALSE), "Siegerurkunde", "Teilnehmerurkunde")), "Keine Urkunde"))</f>
        <v>Siegerurkunde</v>
      </c>
      <c r="T109" s="22">
        <f t="shared" si="10"/>
        <v>2.6</v>
      </c>
    </row>
    <row r="110" ht="19.5" customHeight="1">
      <c r="A110" s="7" t="str">
        <f>IF(ASV_Daten!A127="","",ASV_Daten!A127)</f>
        <v>R6B</v>
      </c>
      <c r="B110" s="7" t="str">
        <f>IF(ASV_Daten!B127="","",ASV_Daten!B127)</f>
        <v>Skoda</v>
      </c>
      <c r="C110" s="7" t="str">
        <f>IF(ASV_Daten!C127="","",ASV_Daten!C127)</f>
        <v>Daria</v>
      </c>
      <c r="D110" s="7">
        <f>IF(ASV_Daten!D127="","",ASV_Daten!D127)</f>
        <v>2014</v>
      </c>
      <c r="E110" s="7" t="str">
        <f>IF(ASV_Daten!E127="","",ASV_Daten!E127)</f>
        <v>W</v>
      </c>
      <c r="F110" s="8" t="str">
        <f t="shared" si="1"/>
        <v>6</v>
      </c>
      <c r="G110" s="9">
        <f t="shared" si="2"/>
        <v>12</v>
      </c>
      <c r="H110" s="10">
        <v>0.13680555555555557</v>
      </c>
      <c r="I110" s="11">
        <f t="shared" si="3"/>
        <v>311</v>
      </c>
      <c r="J110" s="11"/>
      <c r="K110" s="11">
        <f t="shared" si="4"/>
        <v>0</v>
      </c>
      <c r="L110" s="12">
        <v>3.33</v>
      </c>
      <c r="M110" s="11">
        <f t="shared" si="5"/>
        <v>351</v>
      </c>
      <c r="N110" s="12">
        <v>16.0</v>
      </c>
      <c r="O110" s="11">
        <f t="shared" si="6"/>
        <v>226</v>
      </c>
      <c r="P110" s="11" t="str">
        <f t="shared" si="7"/>
        <v>Punkte W 5-6</v>
      </c>
      <c r="Q110" s="11" t="str">
        <f t="shared" si="8"/>
        <v>Noten-Matrix-Mädchen</v>
      </c>
      <c r="R110" s="13">
        <f t="shared" si="9"/>
        <v>888</v>
      </c>
      <c r="S110" s="11" t="str">
        <f>IF(R110=0, "Keine Teilnahme", IFERROR(IF(R110&gt;=VLOOKUP(G110&amp;LOWER(E110), Formeln!$H$2:$K$30, 4, FALSE), "Ehrenurkunde", IF(R110&gt;=VLOOKUP(G110&amp;LOWER(E110), Formeln!$H$2:$K$30, 3, FALSE), "Siegerurkunde", "Teilnehmerurkunde")), "Keine Urkunde"))</f>
        <v>Siegerurkunde</v>
      </c>
      <c r="T110" s="14">
        <f t="shared" si="10"/>
        <v>2</v>
      </c>
    </row>
    <row r="111" ht="19.5" customHeight="1">
      <c r="A111" s="15" t="str">
        <f>IF(ASV_Daten!A121="","",ASV_Daten!A121)</f>
        <v>R6B</v>
      </c>
      <c r="B111" s="15" t="str">
        <f>IF(ASV_Daten!B121="","",ASV_Daten!B121)</f>
        <v>Nikitin</v>
      </c>
      <c r="C111" s="15" t="str">
        <f>IF(ASV_Daten!C121="","",ASV_Daten!C121)</f>
        <v>Elias</v>
      </c>
      <c r="D111" s="15">
        <f>IF(ASV_Daten!D121="","",ASV_Daten!D121)</f>
        <v>2014</v>
      </c>
      <c r="E111" s="15" t="str">
        <f>IF(ASV_Daten!E121="","",ASV_Daten!E121)</f>
        <v>M</v>
      </c>
      <c r="F111" s="16" t="str">
        <f t="shared" si="1"/>
        <v>6</v>
      </c>
      <c r="G111" s="17">
        <f t="shared" si="2"/>
        <v>12</v>
      </c>
      <c r="H111" s="18">
        <v>0.2520833333333333</v>
      </c>
      <c r="I111" s="19">
        <f t="shared" si="3"/>
        <v>96</v>
      </c>
      <c r="J111" s="19"/>
      <c r="K111" s="19">
        <f t="shared" si="4"/>
        <v>0</v>
      </c>
      <c r="L111" s="20">
        <v>2.85</v>
      </c>
      <c r="M111" s="19">
        <f t="shared" si="5"/>
        <v>245</v>
      </c>
      <c r="N111" s="20">
        <v>15.0</v>
      </c>
      <c r="O111" s="19">
        <f t="shared" si="6"/>
        <v>97</v>
      </c>
      <c r="P111" s="19" t="str">
        <f t="shared" si="7"/>
        <v>Punkte M 5-6</v>
      </c>
      <c r="Q111" s="19" t="str">
        <f t="shared" si="8"/>
        <v>Noten-Matrix-Jungen</v>
      </c>
      <c r="R111" s="21">
        <f t="shared" si="9"/>
        <v>438</v>
      </c>
      <c r="S111" s="19" t="str">
        <f>IF(R111=0, "Keine Teilnahme", IFERROR(IF(R111&gt;=VLOOKUP(G111&amp;LOWER(E111), Formeln!$H$2:$K$30, 4, FALSE), "Ehrenurkunde", IF(R111&gt;=VLOOKUP(G111&amp;LOWER(E111), Formeln!$H$2:$K$30, 3, FALSE), "Siegerurkunde", "Teilnehmerurkunde")), "Keine Urkunde"))</f>
        <v>Teilnehmerurkunde</v>
      </c>
      <c r="T111" s="22" t="str">
        <f t="shared" si="10"/>
        <v>NOTE</v>
      </c>
    </row>
    <row r="112" ht="19.5" customHeight="1">
      <c r="A112" s="7" t="str">
        <f>IF(ASV_Daten!A125="","",ASV_Daten!A125)</f>
        <v>R6B</v>
      </c>
      <c r="B112" s="7" t="str">
        <f>IF(ASV_Daten!B125="","",ASV_Daten!B125)</f>
        <v>Schneider</v>
      </c>
      <c r="C112" s="7" t="str">
        <f>IF(ASV_Daten!C125="","",ASV_Daten!C125)</f>
        <v>Felix</v>
      </c>
      <c r="D112" s="7">
        <f>IF(ASV_Daten!D125="","",ASV_Daten!D125)</f>
        <v>2013</v>
      </c>
      <c r="E112" s="7" t="str">
        <f>IF(ASV_Daten!E125="","",ASV_Daten!E125)</f>
        <v>M</v>
      </c>
      <c r="F112" s="8" t="str">
        <f t="shared" si="1"/>
        <v>6</v>
      </c>
      <c r="G112" s="9">
        <f t="shared" si="2"/>
        <v>13</v>
      </c>
      <c r="H112" s="11"/>
      <c r="I112" s="11">
        <f t="shared" si="3"/>
        <v>0</v>
      </c>
      <c r="J112" s="12">
        <v>13.8</v>
      </c>
      <c r="K112" s="11">
        <f t="shared" si="4"/>
        <v>0</v>
      </c>
      <c r="L112" s="12">
        <v>2.33</v>
      </c>
      <c r="M112" s="11">
        <f t="shared" si="5"/>
        <v>171</v>
      </c>
      <c r="N112" s="12">
        <v>16.5</v>
      </c>
      <c r="O112" s="11">
        <f t="shared" si="6"/>
        <v>114</v>
      </c>
      <c r="P112" s="11" t="str">
        <f t="shared" si="7"/>
        <v>Punkte M 5-6</v>
      </c>
      <c r="Q112" s="11" t="str">
        <f t="shared" si="8"/>
        <v>Noten-Matrix-Jungen</v>
      </c>
      <c r="R112" s="13">
        <f t="shared" si="9"/>
        <v>285</v>
      </c>
      <c r="S112" s="11" t="str">
        <f>IF(R112=0, "Keine Teilnahme", IFERROR(IF(R112&gt;=VLOOKUP(G112&amp;LOWER(E112), Formeln!$H$2:$K$30, 4, FALSE), "Ehrenurkunde", IF(R112&gt;=VLOOKUP(G112&amp;LOWER(E112), Formeln!$H$2:$K$30, 3, FALSE), "Siegerurkunde", "Teilnehmerurkunde")), "Keine Urkunde"))</f>
        <v>Teilnehmerurkunde</v>
      </c>
      <c r="T112" s="14" t="str">
        <f t="shared" si="10"/>
        <v>NOTE</v>
      </c>
    </row>
    <row r="113" ht="19.5" customHeight="1">
      <c r="A113" s="15" t="str">
        <f>IF(ASV_Daten!A112="","",ASV_Daten!A112)</f>
        <v>R6B</v>
      </c>
      <c r="B113" s="15" t="str">
        <f>IF(ASV_Daten!B112="","",ASV_Daten!B112)</f>
        <v>Kleiser</v>
      </c>
      <c r="C113" s="15" t="str">
        <f>IF(ASV_Daten!C112="","",ASV_Daten!C112)</f>
        <v>Jakob</v>
      </c>
      <c r="D113" s="15">
        <f>IF(ASV_Daten!D112="","",ASV_Daten!D112)</f>
        <v>2014</v>
      </c>
      <c r="E113" s="15" t="str">
        <f>IF(ASV_Daten!E112="","",ASV_Daten!E112)</f>
        <v>M</v>
      </c>
      <c r="F113" s="16" t="str">
        <f t="shared" si="1"/>
        <v>6</v>
      </c>
      <c r="G113" s="17">
        <f t="shared" si="2"/>
        <v>12</v>
      </c>
      <c r="H113" s="19"/>
      <c r="I113" s="19">
        <f t="shared" si="3"/>
        <v>0</v>
      </c>
      <c r="J113" s="20">
        <v>8.8</v>
      </c>
      <c r="K113" s="19">
        <f t="shared" si="4"/>
        <v>252</v>
      </c>
      <c r="L113" s="20">
        <v>3.81</v>
      </c>
      <c r="M113" s="19">
        <f t="shared" si="5"/>
        <v>366</v>
      </c>
      <c r="N113" s="20">
        <v>23.0</v>
      </c>
      <c r="O113" s="19">
        <f t="shared" si="6"/>
        <v>181</v>
      </c>
      <c r="P113" s="19" t="str">
        <f t="shared" si="7"/>
        <v>Punkte M 5-6</v>
      </c>
      <c r="Q113" s="19" t="str">
        <f t="shared" si="8"/>
        <v>Noten-Matrix-Jungen</v>
      </c>
      <c r="R113" s="21">
        <f t="shared" si="9"/>
        <v>799</v>
      </c>
      <c r="S113" s="19" t="str">
        <f>IF(R113=0, "Keine Teilnahme", IFERROR(IF(R113&gt;=VLOOKUP(G113&amp;LOWER(E113), Formeln!$H$2:$K$30, 4, FALSE), "Ehrenurkunde", IF(R113&gt;=VLOOKUP(G113&amp;LOWER(E113), Formeln!$H$2:$K$30, 3, FALSE), "Siegerurkunde", "Teilnehmerurkunde")), "Keine Urkunde"))</f>
        <v>Siegerurkunde</v>
      </c>
      <c r="T113" s="22">
        <f t="shared" si="10"/>
        <v>2.5</v>
      </c>
    </row>
    <row r="114" ht="19.5" customHeight="1">
      <c r="A114" s="7" t="str">
        <f>IF(ASV_Daten!A116="","",ASV_Daten!A116)</f>
        <v>R6B</v>
      </c>
      <c r="B114" s="7" t="str">
        <f>IF(ASV_Daten!B116="","",ASV_Daten!B116)</f>
        <v>Löffler</v>
      </c>
      <c r="C114" s="7" t="str">
        <f>IF(ASV_Daten!C116="","",ASV_Daten!C116)</f>
        <v>Jannis</v>
      </c>
      <c r="D114" s="7">
        <f>IF(ASV_Daten!D116="","",ASV_Daten!D116)</f>
        <v>2013</v>
      </c>
      <c r="E114" s="7" t="str">
        <f>IF(ASV_Daten!E116="","",ASV_Daten!E116)</f>
        <v>M</v>
      </c>
      <c r="F114" s="8" t="str">
        <f t="shared" si="1"/>
        <v>6</v>
      </c>
      <c r="G114" s="9">
        <f t="shared" si="2"/>
        <v>13</v>
      </c>
      <c r="H114" s="11"/>
      <c r="I114" s="11">
        <f t="shared" si="3"/>
        <v>0</v>
      </c>
      <c r="J114" s="12">
        <v>8.4</v>
      </c>
      <c r="K114" s="11">
        <f t="shared" si="4"/>
        <v>289</v>
      </c>
      <c r="L114" s="12">
        <v>3.01</v>
      </c>
      <c r="M114" s="11">
        <f t="shared" si="5"/>
        <v>266</v>
      </c>
      <c r="N114" s="12">
        <v>19.0</v>
      </c>
      <c r="O114" s="11">
        <f t="shared" si="6"/>
        <v>141</v>
      </c>
      <c r="P114" s="11" t="str">
        <f t="shared" si="7"/>
        <v>Punkte M 5-6</v>
      </c>
      <c r="Q114" s="11" t="str">
        <f t="shared" si="8"/>
        <v>Noten-Matrix-Jungen</v>
      </c>
      <c r="R114" s="13">
        <f t="shared" si="9"/>
        <v>696</v>
      </c>
      <c r="S114" s="11" t="str">
        <f>IF(R114=0, "Keine Teilnahme", IFERROR(IF(R114&gt;=VLOOKUP(G114&amp;LOWER(E114), Formeln!$H$2:$K$30, 4, FALSE), "Ehrenurkunde", IF(R114&gt;=VLOOKUP(G114&amp;LOWER(E114), Formeln!$H$2:$K$30, 3, FALSE), "Siegerurkunde", "Teilnehmerurkunde")), "Keine Urkunde"))</f>
        <v>Teilnehmerurkunde</v>
      </c>
      <c r="T114" s="14">
        <f t="shared" si="10"/>
        <v>3.6</v>
      </c>
    </row>
    <row r="115" ht="19.5" customHeight="1">
      <c r="A115" s="15" t="str">
        <f>IF(ASV_Daten!A119="","",ASV_Daten!A119)</f>
        <v>R6B</v>
      </c>
      <c r="B115" s="15" t="str">
        <f>IF(ASV_Daten!B119="","",ASV_Daten!B119)</f>
        <v>Meireles</v>
      </c>
      <c r="C115" s="15" t="str">
        <f>IF(ASV_Daten!C119="","",ASV_Daten!C119)</f>
        <v>Joana</v>
      </c>
      <c r="D115" s="15">
        <f>IF(ASV_Daten!D119="","",ASV_Daten!D119)</f>
        <v>2014</v>
      </c>
      <c r="E115" s="15" t="str">
        <f>IF(ASV_Daten!E119="","",ASV_Daten!E119)</f>
        <v>W</v>
      </c>
      <c r="F115" s="16" t="str">
        <f t="shared" si="1"/>
        <v>6</v>
      </c>
      <c r="G115" s="17">
        <f t="shared" si="2"/>
        <v>12</v>
      </c>
      <c r="H115" s="19"/>
      <c r="I115" s="19">
        <f t="shared" si="3"/>
        <v>0</v>
      </c>
      <c r="J115" s="19"/>
      <c r="K115" s="19">
        <f t="shared" si="4"/>
        <v>0</v>
      </c>
      <c r="L115" s="19"/>
      <c r="M115" s="19">
        <f t="shared" si="5"/>
        <v>0</v>
      </c>
      <c r="N115" s="19"/>
      <c r="O115" s="19">
        <f t="shared" si="6"/>
        <v>0</v>
      </c>
      <c r="P115" s="19" t="str">
        <f t="shared" si="7"/>
        <v>Punkte W 5-6</v>
      </c>
      <c r="Q115" s="19" t="str">
        <f t="shared" si="8"/>
        <v>Noten-Matrix-Mädchen</v>
      </c>
      <c r="R115" s="21">
        <f t="shared" si="9"/>
        <v>0</v>
      </c>
      <c r="S115" s="19" t="str">
        <f>IF(R115=0, "Keine Teilnahme", IFERROR(IF(R115&gt;=VLOOKUP(G115&amp;LOWER(E115), Formeln!$H$2:$K$30, 4, FALSE), "Ehrenurkunde", IF(R115&gt;=VLOOKUP(G115&amp;LOWER(E115), Formeln!$H$2:$K$30, 3, FALSE), "Siegerurkunde", "Teilnehmerurkunde")), "Keine Urkunde"))</f>
        <v>Keine Teilnahme</v>
      </c>
      <c r="T115" s="22" t="str">
        <f t="shared" si="10"/>
        <v>Keine Teilnahme</v>
      </c>
    </row>
    <row r="116" ht="19.5" customHeight="1">
      <c r="A116" s="7" t="str">
        <f>IF(ASV_Daten!A103="","",ASV_Daten!A103)</f>
        <v>R6B</v>
      </c>
      <c r="B116" s="7" t="str">
        <f>IF(ASV_Daten!B103="","",ASV_Daten!B103)</f>
        <v>Beese</v>
      </c>
      <c r="C116" s="7" t="str">
        <f>IF(ASV_Daten!C103="","",ASV_Daten!C103)</f>
        <v>Johanna</v>
      </c>
      <c r="D116" s="7">
        <f>IF(ASV_Daten!D103="","",ASV_Daten!D103)</f>
        <v>2014</v>
      </c>
      <c r="E116" s="7" t="str">
        <f>IF(ASV_Daten!E103="","",ASV_Daten!E103)</f>
        <v>W</v>
      </c>
      <c r="F116" s="8" t="str">
        <f t="shared" si="1"/>
        <v>6</v>
      </c>
      <c r="G116" s="9">
        <f t="shared" si="2"/>
        <v>12</v>
      </c>
      <c r="H116" s="27"/>
      <c r="I116" s="11">
        <f t="shared" si="3"/>
        <v>0</v>
      </c>
      <c r="J116" s="12">
        <v>9.0</v>
      </c>
      <c r="K116" s="11">
        <f t="shared" si="4"/>
        <v>267</v>
      </c>
      <c r="L116" s="12">
        <v>3.21</v>
      </c>
      <c r="M116" s="11">
        <f t="shared" si="5"/>
        <v>335</v>
      </c>
      <c r="N116" s="12">
        <v>11.5</v>
      </c>
      <c r="O116" s="11">
        <f t="shared" si="6"/>
        <v>156</v>
      </c>
      <c r="P116" s="11" t="str">
        <f t="shared" si="7"/>
        <v>Punkte W 5-6</v>
      </c>
      <c r="Q116" s="11" t="str">
        <f t="shared" si="8"/>
        <v>Noten-Matrix-Mädchen</v>
      </c>
      <c r="R116" s="13">
        <f t="shared" si="9"/>
        <v>758</v>
      </c>
      <c r="S116" s="11" t="str">
        <f>IF(R116=0, "Keine Teilnahme", IFERROR(IF(R116&gt;=VLOOKUP(G116&amp;LOWER(E116), Formeln!$H$2:$K$30, 4, FALSE), "Ehrenurkunde", IF(R116&gt;=VLOOKUP(G116&amp;LOWER(E116), Formeln!$H$2:$K$30, 3, FALSE), "Siegerurkunde", "Teilnehmerurkunde")), "Keine Urkunde"))</f>
        <v>Teilnehmerurkunde</v>
      </c>
      <c r="T116" s="14">
        <f t="shared" si="10"/>
        <v>2.9</v>
      </c>
    </row>
    <row r="117" ht="19.5" customHeight="1">
      <c r="A117" s="15" t="str">
        <f>IF(ASV_Daten!A114="","",ASV_Daten!A114)</f>
        <v>R6B</v>
      </c>
      <c r="B117" s="15" t="str">
        <f>IF(ASV_Daten!B114="","",ASV_Daten!B114)</f>
        <v>Kulikov</v>
      </c>
      <c r="C117" s="15" t="str">
        <f>IF(ASV_Daten!C114="","",ASV_Daten!C114)</f>
        <v>Lea</v>
      </c>
      <c r="D117" s="15">
        <f>IF(ASV_Daten!D114="","",ASV_Daten!D114)</f>
        <v>2014</v>
      </c>
      <c r="E117" s="15" t="str">
        <f>IF(ASV_Daten!E114="","",ASV_Daten!E114)</f>
        <v>W</v>
      </c>
      <c r="F117" s="16" t="str">
        <f t="shared" si="1"/>
        <v>6</v>
      </c>
      <c r="G117" s="17">
        <f t="shared" si="2"/>
        <v>12</v>
      </c>
      <c r="H117" s="18">
        <v>0.18680555555555556</v>
      </c>
      <c r="I117" s="19">
        <f t="shared" si="3"/>
        <v>145</v>
      </c>
      <c r="J117" s="19"/>
      <c r="K117" s="19">
        <f t="shared" si="4"/>
        <v>0</v>
      </c>
      <c r="L117" s="20">
        <v>2.61</v>
      </c>
      <c r="M117" s="19">
        <f t="shared" si="5"/>
        <v>250</v>
      </c>
      <c r="N117" s="20">
        <v>15.5</v>
      </c>
      <c r="O117" s="19">
        <f t="shared" si="6"/>
        <v>218</v>
      </c>
      <c r="P117" s="19" t="str">
        <f t="shared" si="7"/>
        <v>Punkte W 5-6</v>
      </c>
      <c r="Q117" s="19" t="str">
        <f t="shared" si="8"/>
        <v>Noten-Matrix-Mädchen</v>
      </c>
      <c r="R117" s="21">
        <f t="shared" si="9"/>
        <v>613</v>
      </c>
      <c r="S117" s="19" t="str">
        <f>IF(R117=0, "Keine Teilnahme", IFERROR(IF(R117&gt;=VLOOKUP(G117&amp;LOWER(E117), Formeln!$H$2:$K$30, 4, FALSE), "Ehrenurkunde", IF(R117&gt;=VLOOKUP(G117&amp;LOWER(E117), Formeln!$H$2:$K$30, 3, FALSE), "Siegerurkunde", "Teilnehmerurkunde")), "Keine Urkunde"))</f>
        <v>Teilnehmerurkunde</v>
      </c>
      <c r="T117" s="22">
        <f t="shared" si="10"/>
        <v>4</v>
      </c>
    </row>
    <row r="118" ht="19.5" customHeight="1">
      <c r="A118" s="7" t="str">
        <f>IF(ASV_Daten!A126="","",ASV_Daten!A126)</f>
        <v>R6B</v>
      </c>
      <c r="B118" s="7" t="str">
        <f>IF(ASV_Daten!B126="","",ASV_Daten!B126)</f>
        <v>Sevcenko</v>
      </c>
      <c r="C118" s="7" t="str">
        <f>IF(ASV_Daten!C126="","",ASV_Daten!C126)</f>
        <v>Leoni</v>
      </c>
      <c r="D118" s="7">
        <f>IF(ASV_Daten!D126="","",ASV_Daten!D126)</f>
        <v>2013</v>
      </c>
      <c r="E118" s="7" t="str">
        <f>IF(ASV_Daten!E126="","",ASV_Daten!E126)</f>
        <v>W</v>
      </c>
      <c r="F118" s="8" t="str">
        <f t="shared" si="1"/>
        <v>6</v>
      </c>
      <c r="G118" s="9">
        <f t="shared" si="2"/>
        <v>13</v>
      </c>
      <c r="H118" s="11"/>
      <c r="I118" s="11">
        <f t="shared" si="3"/>
        <v>0</v>
      </c>
      <c r="J118" s="12">
        <v>9.2</v>
      </c>
      <c r="K118" s="11">
        <f t="shared" si="4"/>
        <v>249</v>
      </c>
      <c r="L118" s="12">
        <v>3.17</v>
      </c>
      <c r="M118" s="11">
        <f t="shared" si="5"/>
        <v>330</v>
      </c>
      <c r="N118" s="12">
        <v>16.5</v>
      </c>
      <c r="O118" s="11">
        <f t="shared" si="6"/>
        <v>233</v>
      </c>
      <c r="P118" s="11" t="str">
        <f t="shared" si="7"/>
        <v>Punkte W 5-6</v>
      </c>
      <c r="Q118" s="11" t="str">
        <f t="shared" si="8"/>
        <v>Noten-Matrix-Mädchen</v>
      </c>
      <c r="R118" s="13">
        <f t="shared" si="9"/>
        <v>812</v>
      </c>
      <c r="S118" s="11" t="str">
        <f>IF(R118=0, "Keine Teilnahme", IFERROR(IF(R118&gt;=VLOOKUP(G118&amp;LOWER(E118), Formeln!$H$2:$K$30, 4, FALSE), "Ehrenurkunde", IF(R118&gt;=VLOOKUP(G118&amp;LOWER(E118), Formeln!$H$2:$K$30, 3, FALSE), "Siegerurkunde", "Teilnehmerurkunde")), "Keine Urkunde"))</f>
        <v>Teilnehmerurkunde</v>
      </c>
      <c r="T118" s="14">
        <f t="shared" si="10"/>
        <v>2.8</v>
      </c>
    </row>
    <row r="119" ht="19.5" customHeight="1">
      <c r="A119" s="15" t="str">
        <f>IF(ASV_Daten!A117="","",ASV_Daten!A117)</f>
        <v>R6B</v>
      </c>
      <c r="B119" s="15" t="str">
        <f>IF(ASV_Daten!B117="","",ASV_Daten!B117)</f>
        <v>Maier</v>
      </c>
      <c r="C119" s="15" t="str">
        <f>IF(ASV_Daten!C117="","",ASV_Daten!C117)</f>
        <v>Leonie</v>
      </c>
      <c r="D119" s="15">
        <f>IF(ASV_Daten!D117="","",ASV_Daten!D117)</f>
        <v>2014</v>
      </c>
      <c r="E119" s="15" t="str">
        <f>IF(ASV_Daten!E117="","",ASV_Daten!E117)</f>
        <v>W</v>
      </c>
      <c r="F119" s="16" t="str">
        <f t="shared" si="1"/>
        <v>6</v>
      </c>
      <c r="G119" s="17">
        <f t="shared" si="2"/>
        <v>12</v>
      </c>
      <c r="H119" s="19"/>
      <c r="I119" s="19">
        <f t="shared" si="3"/>
        <v>0</v>
      </c>
      <c r="J119" s="19"/>
      <c r="K119" s="19">
        <f t="shared" si="4"/>
        <v>0</v>
      </c>
      <c r="L119" s="19"/>
      <c r="M119" s="19">
        <f t="shared" si="5"/>
        <v>0</v>
      </c>
      <c r="N119" s="19"/>
      <c r="O119" s="19">
        <f t="shared" si="6"/>
        <v>0</v>
      </c>
      <c r="P119" s="19" t="str">
        <f t="shared" si="7"/>
        <v>Punkte W 5-6</v>
      </c>
      <c r="Q119" s="19" t="str">
        <f t="shared" si="8"/>
        <v>Noten-Matrix-Mädchen</v>
      </c>
      <c r="R119" s="21">
        <f t="shared" si="9"/>
        <v>0</v>
      </c>
      <c r="S119" s="19" t="str">
        <f>IF(R119=0, "Keine Teilnahme", IFERROR(IF(R119&gt;=VLOOKUP(G119&amp;LOWER(E119), Formeln!$H$2:$K$30, 4, FALSE), "Ehrenurkunde", IF(R119&gt;=VLOOKUP(G119&amp;LOWER(E119), Formeln!$H$2:$K$30, 3, FALSE), "Siegerurkunde", "Teilnehmerurkunde")), "Keine Urkunde"))</f>
        <v>Keine Teilnahme</v>
      </c>
      <c r="T119" s="22" t="str">
        <f t="shared" si="10"/>
        <v>Keine Teilnahme</v>
      </c>
    </row>
    <row r="120" ht="19.5" customHeight="1">
      <c r="A120" s="7" t="str">
        <f>IF(ASV_Daten!A128="","",ASV_Daten!A128)</f>
        <v>R6B</v>
      </c>
      <c r="B120" s="7" t="str">
        <f>IF(ASV_Daten!B128="","",ASV_Daten!B128)</f>
        <v>Spiegelhalter</v>
      </c>
      <c r="C120" s="7" t="str">
        <f>IF(ASV_Daten!C128="","",ASV_Daten!C128)</f>
        <v>Lina</v>
      </c>
      <c r="D120" s="7">
        <f>IF(ASV_Daten!D128="","",ASV_Daten!D128)</f>
        <v>2014</v>
      </c>
      <c r="E120" s="7" t="str">
        <f>IF(ASV_Daten!E128="","",ASV_Daten!E128)</f>
        <v>W</v>
      </c>
      <c r="F120" s="8" t="str">
        <f t="shared" si="1"/>
        <v>6</v>
      </c>
      <c r="G120" s="9">
        <f t="shared" si="2"/>
        <v>12</v>
      </c>
      <c r="H120" s="10">
        <v>0.13541666666666666</v>
      </c>
      <c r="I120" s="11">
        <f t="shared" si="3"/>
        <v>318</v>
      </c>
      <c r="J120" s="11"/>
      <c r="K120" s="11">
        <f t="shared" si="4"/>
        <v>0</v>
      </c>
      <c r="L120" s="12">
        <v>3.65</v>
      </c>
      <c r="M120" s="11">
        <f t="shared" si="5"/>
        <v>392</v>
      </c>
      <c r="N120" s="12">
        <v>14.5</v>
      </c>
      <c r="O120" s="11">
        <f t="shared" si="6"/>
        <v>204</v>
      </c>
      <c r="P120" s="11" t="str">
        <f t="shared" si="7"/>
        <v>Punkte W 5-6</v>
      </c>
      <c r="Q120" s="11" t="str">
        <f t="shared" si="8"/>
        <v>Noten-Matrix-Mädchen</v>
      </c>
      <c r="R120" s="13">
        <f t="shared" si="9"/>
        <v>914</v>
      </c>
      <c r="S120" s="11" t="str">
        <f>IF(R120=0, "Keine Teilnahme", IFERROR(IF(R120&gt;=VLOOKUP(G120&amp;LOWER(E120), Formeln!$H$2:$K$30, 4, FALSE), "Ehrenurkunde", IF(R120&gt;=VLOOKUP(G120&amp;LOWER(E120), Formeln!$H$2:$K$30, 3, FALSE), "Siegerurkunde", "Teilnehmerurkunde")), "Keine Urkunde"))</f>
        <v>Siegerurkunde</v>
      </c>
      <c r="T120" s="14">
        <f t="shared" si="10"/>
        <v>1.9</v>
      </c>
    </row>
    <row r="121" ht="19.5" customHeight="1">
      <c r="A121" s="15" t="str">
        <f>IF(ASV_Daten!A130="","",ASV_Daten!A130)</f>
        <v>R6B</v>
      </c>
      <c r="B121" s="15" t="str">
        <f>IF(ASV_Daten!B130="","",ASV_Daten!B130)</f>
        <v>Stiebjahn</v>
      </c>
      <c r="C121" s="15" t="str">
        <f>IF(ASV_Daten!C130="","",ASV_Daten!C130)</f>
        <v>Luis</v>
      </c>
      <c r="D121" s="15">
        <f>IF(ASV_Daten!D130="","",ASV_Daten!D130)</f>
        <v>2014</v>
      </c>
      <c r="E121" s="15" t="str">
        <f>IF(ASV_Daten!E130="","",ASV_Daten!E130)</f>
        <v>M</v>
      </c>
      <c r="F121" s="16" t="str">
        <f t="shared" si="1"/>
        <v>6</v>
      </c>
      <c r="G121" s="17">
        <f t="shared" si="2"/>
        <v>12</v>
      </c>
      <c r="H121" s="25"/>
      <c r="I121" s="19">
        <f t="shared" si="3"/>
        <v>0</v>
      </c>
      <c r="J121" s="20">
        <v>8.6</v>
      </c>
      <c r="K121" s="19">
        <f t="shared" si="4"/>
        <v>270</v>
      </c>
      <c r="L121" s="20">
        <v>3.09</v>
      </c>
      <c r="M121" s="19">
        <f t="shared" si="5"/>
        <v>277</v>
      </c>
      <c r="N121" s="20">
        <v>27.0</v>
      </c>
      <c r="O121" s="19">
        <f t="shared" si="6"/>
        <v>217</v>
      </c>
      <c r="P121" s="19" t="str">
        <f t="shared" si="7"/>
        <v>Punkte M 5-6</v>
      </c>
      <c r="Q121" s="19" t="str">
        <f t="shared" si="8"/>
        <v>Noten-Matrix-Jungen</v>
      </c>
      <c r="R121" s="21">
        <f t="shared" si="9"/>
        <v>764</v>
      </c>
      <c r="S121" s="19" t="str">
        <f>IF(R121=0, "Keine Teilnahme", IFERROR(IF(R121&gt;=VLOOKUP(G121&amp;LOWER(E121), Formeln!$H$2:$K$30, 4, FALSE), "Ehrenurkunde", IF(R121&gt;=VLOOKUP(G121&amp;LOWER(E121), Formeln!$H$2:$K$30, 3, FALSE), "Siegerurkunde", "Teilnehmerurkunde")), "Keine Urkunde"))</f>
        <v>Siegerurkunde</v>
      </c>
      <c r="T121" s="22">
        <f t="shared" si="10"/>
        <v>2.7</v>
      </c>
    </row>
    <row r="122" ht="19.5" customHeight="1">
      <c r="A122" s="7" t="str">
        <f>IF(ASV_Daten!A111="","",ASV_Daten!A111)</f>
        <v>R6B</v>
      </c>
      <c r="B122" s="7" t="str">
        <f>IF(ASV_Daten!B111="","",ASV_Daten!B111)</f>
        <v>Ketterer</v>
      </c>
      <c r="C122" s="7" t="str">
        <f>IF(ASV_Daten!C111="","",ASV_Daten!C111)</f>
        <v>Marina</v>
      </c>
      <c r="D122" s="7">
        <f>IF(ASV_Daten!D111="","",ASV_Daten!D111)</f>
        <v>2013</v>
      </c>
      <c r="E122" s="7" t="str">
        <f>IF(ASV_Daten!E111="","",ASV_Daten!E111)</f>
        <v>W</v>
      </c>
      <c r="F122" s="8" t="str">
        <f t="shared" si="1"/>
        <v>6</v>
      </c>
      <c r="G122" s="9">
        <f t="shared" si="2"/>
        <v>13</v>
      </c>
      <c r="H122" s="11"/>
      <c r="I122" s="11">
        <f t="shared" si="3"/>
        <v>0</v>
      </c>
      <c r="J122" s="12">
        <v>10.5</v>
      </c>
      <c r="K122" s="11">
        <f t="shared" si="4"/>
        <v>152</v>
      </c>
      <c r="L122" s="12">
        <v>2.05</v>
      </c>
      <c r="M122" s="11">
        <f t="shared" si="5"/>
        <v>162</v>
      </c>
      <c r="N122" s="12">
        <v>15.0</v>
      </c>
      <c r="O122" s="11">
        <f t="shared" si="6"/>
        <v>211</v>
      </c>
      <c r="P122" s="11" t="str">
        <f t="shared" si="7"/>
        <v>Punkte W 5-6</v>
      </c>
      <c r="Q122" s="11" t="str">
        <f t="shared" si="8"/>
        <v>Noten-Matrix-Mädchen</v>
      </c>
      <c r="R122" s="13">
        <f t="shared" si="9"/>
        <v>525</v>
      </c>
      <c r="S122" s="11" t="str">
        <f>IF(R122=0, "Keine Teilnahme", IFERROR(IF(R122&gt;=VLOOKUP(G122&amp;LOWER(E122), Formeln!$H$2:$K$30, 4, FALSE), "Ehrenurkunde", IF(R122&gt;=VLOOKUP(G122&amp;LOWER(E122), Formeln!$H$2:$K$30, 3, FALSE), "Siegerurkunde", "Teilnehmerurkunde")), "Keine Urkunde"))</f>
        <v>Teilnehmerurkunde</v>
      </c>
      <c r="T122" s="14" t="str">
        <f t="shared" si="10"/>
        <v>NOTE</v>
      </c>
    </row>
    <row r="123" ht="19.5" customHeight="1">
      <c r="A123" s="15" t="str">
        <f>IF(ASV_Daten!A120="","",ASV_Daten!A120)</f>
        <v>R6B</v>
      </c>
      <c r="B123" s="15" t="str">
        <f>IF(ASV_Daten!B120="","",ASV_Daten!B120)</f>
        <v>Muherina</v>
      </c>
      <c r="C123" s="15" t="str">
        <f>IF(ASV_Daten!C120="","",ASV_Daten!C120)</f>
        <v>Melina</v>
      </c>
      <c r="D123" s="15">
        <f>IF(ASV_Daten!D120="","",ASV_Daten!D120)</f>
        <v>2014</v>
      </c>
      <c r="E123" s="15" t="str">
        <f>IF(ASV_Daten!E120="","",ASV_Daten!E120)</f>
        <v>W</v>
      </c>
      <c r="F123" s="16" t="str">
        <f t="shared" si="1"/>
        <v>6</v>
      </c>
      <c r="G123" s="17">
        <f t="shared" si="2"/>
        <v>12</v>
      </c>
      <c r="H123" s="19"/>
      <c r="I123" s="19">
        <f t="shared" si="3"/>
        <v>0</v>
      </c>
      <c r="J123" s="20">
        <v>9.2</v>
      </c>
      <c r="K123" s="19">
        <f t="shared" si="4"/>
        <v>249</v>
      </c>
      <c r="L123" s="20">
        <v>2.97</v>
      </c>
      <c r="M123" s="19">
        <f t="shared" si="5"/>
        <v>302</v>
      </c>
      <c r="N123" s="20">
        <v>20.0</v>
      </c>
      <c r="O123" s="19">
        <f t="shared" si="6"/>
        <v>280</v>
      </c>
      <c r="P123" s="19" t="str">
        <f t="shared" si="7"/>
        <v>Punkte W 5-6</v>
      </c>
      <c r="Q123" s="19" t="str">
        <f t="shared" si="8"/>
        <v>Noten-Matrix-Mädchen</v>
      </c>
      <c r="R123" s="21">
        <f t="shared" si="9"/>
        <v>831</v>
      </c>
      <c r="S123" s="19" t="str">
        <f>IF(R123=0, "Keine Teilnahme", IFERROR(IF(R123&gt;=VLOOKUP(G123&amp;LOWER(E123), Formeln!$H$2:$K$30, 4, FALSE), "Ehrenurkunde", IF(R123&gt;=VLOOKUP(G123&amp;LOWER(E123), Formeln!$H$2:$K$30, 3, FALSE), "Siegerurkunde", "Teilnehmerurkunde")), "Keine Urkunde"))</f>
        <v>Siegerurkunde</v>
      </c>
      <c r="T123" s="22">
        <f t="shared" si="10"/>
        <v>2.4</v>
      </c>
    </row>
    <row r="124" ht="19.5" customHeight="1">
      <c r="A124" s="7" t="str">
        <f>IF(ASV_Daten!A108="","",ASV_Daten!A108)</f>
        <v>R6B</v>
      </c>
      <c r="B124" s="7" t="str">
        <f>IF(ASV_Daten!B108="","",ASV_Daten!B108)</f>
        <v>Ganz</v>
      </c>
      <c r="C124" s="7" t="str">
        <f>IF(ASV_Daten!C108="","",ASV_Daten!C108)</f>
        <v>Mia</v>
      </c>
      <c r="D124" s="7">
        <f>IF(ASV_Daten!D108="","",ASV_Daten!D108)</f>
        <v>2014</v>
      </c>
      <c r="E124" s="7" t="str">
        <f>IF(ASV_Daten!E108="","",ASV_Daten!E108)</f>
        <v>W</v>
      </c>
      <c r="F124" s="8" t="str">
        <f t="shared" si="1"/>
        <v>6</v>
      </c>
      <c r="G124" s="9">
        <f t="shared" si="2"/>
        <v>12</v>
      </c>
      <c r="H124" s="11"/>
      <c r="I124" s="11">
        <f t="shared" si="3"/>
        <v>0</v>
      </c>
      <c r="J124" s="12">
        <v>8.2</v>
      </c>
      <c r="K124" s="11">
        <f t="shared" si="4"/>
        <v>344</v>
      </c>
      <c r="L124" s="12">
        <v>2.93</v>
      </c>
      <c r="M124" s="11">
        <f t="shared" si="5"/>
        <v>297</v>
      </c>
      <c r="N124" s="12">
        <v>12.5</v>
      </c>
      <c r="O124" s="11">
        <f t="shared" si="6"/>
        <v>173</v>
      </c>
      <c r="P124" s="11" t="str">
        <f t="shared" si="7"/>
        <v>Punkte W 5-6</v>
      </c>
      <c r="Q124" s="11" t="str">
        <f t="shared" si="8"/>
        <v>Noten-Matrix-Mädchen</v>
      </c>
      <c r="R124" s="13">
        <f t="shared" si="9"/>
        <v>814</v>
      </c>
      <c r="S124" s="11" t="str">
        <f>IF(R124=0, "Keine Teilnahme", IFERROR(IF(R124&gt;=VLOOKUP(G124&amp;LOWER(E124), Formeln!$H$2:$K$30, 4, FALSE), "Ehrenurkunde", IF(R124&gt;=VLOOKUP(G124&amp;LOWER(E124), Formeln!$H$2:$K$30, 3, FALSE), "Siegerurkunde", "Teilnehmerurkunde")), "Keine Urkunde"))</f>
        <v>Siegerurkunde</v>
      </c>
      <c r="T124" s="14">
        <f t="shared" si="10"/>
        <v>2.5</v>
      </c>
    </row>
    <row r="125" ht="19.5" customHeight="1">
      <c r="A125" s="15" t="str">
        <f>IF(ASV_Daten!A106="","",ASV_Daten!A106)</f>
        <v>R6B</v>
      </c>
      <c r="B125" s="15" t="str">
        <f>IF(ASV_Daten!B106="","",ASV_Daten!B106)</f>
        <v>Emde</v>
      </c>
      <c r="C125" s="15" t="str">
        <f>IF(ASV_Daten!C106="","",ASV_Daten!C106)</f>
        <v>Milan</v>
      </c>
      <c r="D125" s="15">
        <f>IF(ASV_Daten!D106="","",ASV_Daten!D106)</f>
        <v>2013</v>
      </c>
      <c r="E125" s="15" t="str">
        <f>IF(ASV_Daten!E106="","",ASV_Daten!E106)</f>
        <v>M</v>
      </c>
      <c r="F125" s="16" t="str">
        <f t="shared" si="1"/>
        <v>6</v>
      </c>
      <c r="G125" s="17">
        <f t="shared" si="2"/>
        <v>13</v>
      </c>
      <c r="H125" s="18">
        <v>0.17152777777777778</v>
      </c>
      <c r="I125" s="19">
        <f t="shared" si="3"/>
        <v>312</v>
      </c>
      <c r="J125" s="19"/>
      <c r="K125" s="19">
        <f t="shared" si="4"/>
        <v>0</v>
      </c>
      <c r="L125" s="20">
        <v>3.81</v>
      </c>
      <c r="M125" s="19">
        <f t="shared" si="5"/>
        <v>366</v>
      </c>
      <c r="N125" s="20">
        <v>27.0</v>
      </c>
      <c r="O125" s="19">
        <f t="shared" si="6"/>
        <v>217</v>
      </c>
      <c r="P125" s="19" t="str">
        <f t="shared" si="7"/>
        <v>Punkte M 5-6</v>
      </c>
      <c r="Q125" s="19" t="str">
        <f t="shared" si="8"/>
        <v>Noten-Matrix-Jungen</v>
      </c>
      <c r="R125" s="21">
        <f t="shared" si="9"/>
        <v>895</v>
      </c>
      <c r="S125" s="19" t="str">
        <f>IF(R125=0, "Keine Teilnahme", IFERROR(IF(R125&gt;=VLOOKUP(G125&amp;LOWER(E125), Formeln!$H$2:$K$30, 4, FALSE), "Ehrenurkunde", IF(R125&gt;=VLOOKUP(G125&amp;LOWER(E125), Formeln!$H$2:$K$30, 3, FALSE), "Siegerurkunde", "Teilnehmerurkunde")), "Keine Urkunde"))</f>
        <v>Siegerurkunde</v>
      </c>
      <c r="T125" s="22">
        <f t="shared" si="10"/>
        <v>2.4</v>
      </c>
    </row>
    <row r="126" ht="19.5" customHeight="1">
      <c r="A126" s="7" t="str">
        <f>IF(ASV_Daten!A132="","",ASV_Daten!A132)</f>
        <v>R6B</v>
      </c>
      <c r="B126" s="7" t="str">
        <f>IF(ASV_Daten!B132="","",ASV_Daten!B132)</f>
        <v>Wursthorn</v>
      </c>
      <c r="C126" s="7" t="str">
        <f>IF(ASV_Daten!C132="","",ASV_Daten!C132)</f>
        <v>Nora</v>
      </c>
      <c r="D126" s="7">
        <f>IF(ASV_Daten!D132="","",ASV_Daten!D132)</f>
        <v>2014</v>
      </c>
      <c r="E126" s="7" t="str">
        <f>IF(ASV_Daten!E132="","",ASV_Daten!E132)</f>
        <v>W</v>
      </c>
      <c r="F126" s="8" t="str">
        <f t="shared" si="1"/>
        <v>6</v>
      </c>
      <c r="G126" s="9">
        <f t="shared" si="2"/>
        <v>12</v>
      </c>
      <c r="H126" s="11"/>
      <c r="I126" s="11">
        <f t="shared" si="3"/>
        <v>0</v>
      </c>
      <c r="J126" s="12">
        <v>10.7</v>
      </c>
      <c r="K126" s="11">
        <f t="shared" si="4"/>
        <v>139</v>
      </c>
      <c r="L126" s="12">
        <v>2.53</v>
      </c>
      <c r="M126" s="11">
        <f t="shared" si="5"/>
        <v>238</v>
      </c>
      <c r="N126" s="12">
        <v>5.0</v>
      </c>
      <c r="O126" s="11">
        <f t="shared" si="6"/>
        <v>24</v>
      </c>
      <c r="P126" s="11" t="str">
        <f t="shared" si="7"/>
        <v>Punkte W 5-6</v>
      </c>
      <c r="Q126" s="11" t="str">
        <f t="shared" si="8"/>
        <v>Noten-Matrix-Mädchen</v>
      </c>
      <c r="R126" s="13">
        <f t="shared" si="9"/>
        <v>401</v>
      </c>
      <c r="S126" s="11" t="str">
        <f>IF(R126=0, "Keine Teilnahme", IFERROR(IF(R126&gt;=VLOOKUP(G126&amp;LOWER(E126), Formeln!$H$2:$K$30, 4, FALSE), "Ehrenurkunde", IF(R126&gt;=VLOOKUP(G126&amp;LOWER(E126), Formeln!$H$2:$K$30, 3, FALSE), "Siegerurkunde", "Teilnehmerurkunde")), "Keine Urkunde"))</f>
        <v>Teilnehmerurkunde</v>
      </c>
      <c r="T126" s="14" t="str">
        <f t="shared" si="10"/>
        <v>NOTE</v>
      </c>
    </row>
    <row r="127" ht="19.5" customHeight="1">
      <c r="A127" s="15" t="str">
        <f>IF(ASV_Daten!A104="","",ASV_Daten!A104)</f>
        <v>R6B</v>
      </c>
      <c r="B127" s="15" t="str">
        <f>IF(ASV_Daten!B104="","",ASV_Daten!B104)</f>
        <v>Dunn</v>
      </c>
      <c r="C127" s="15" t="str">
        <f>IF(ASV_Daten!C104="","",ASV_Daten!C104)</f>
        <v>Oliver</v>
      </c>
      <c r="D127" s="15">
        <f>IF(ASV_Daten!D104="","",ASV_Daten!D104)</f>
        <v>2014</v>
      </c>
      <c r="E127" s="15" t="str">
        <f>IF(ASV_Daten!E104="","",ASV_Daten!E104)</f>
        <v>M</v>
      </c>
      <c r="F127" s="16" t="str">
        <f t="shared" si="1"/>
        <v>6</v>
      </c>
      <c r="G127" s="17">
        <f t="shared" si="2"/>
        <v>12</v>
      </c>
      <c r="H127" s="18">
        <v>0.15555555555555556</v>
      </c>
      <c r="I127" s="19">
        <f t="shared" si="3"/>
        <v>384</v>
      </c>
      <c r="J127" s="19"/>
      <c r="K127" s="19">
        <f t="shared" si="4"/>
        <v>0</v>
      </c>
      <c r="L127" s="20">
        <v>3.01</v>
      </c>
      <c r="M127" s="19">
        <f t="shared" si="5"/>
        <v>266</v>
      </c>
      <c r="N127" s="20">
        <v>31.5</v>
      </c>
      <c r="O127" s="19">
        <f t="shared" si="6"/>
        <v>255</v>
      </c>
      <c r="P127" s="19" t="str">
        <f t="shared" si="7"/>
        <v>Punkte M 5-6</v>
      </c>
      <c r="Q127" s="19" t="str">
        <f t="shared" si="8"/>
        <v>Noten-Matrix-Jungen</v>
      </c>
      <c r="R127" s="21">
        <f t="shared" si="9"/>
        <v>905</v>
      </c>
      <c r="S127" s="19" t="str">
        <f>IF(R127=0, "Keine Teilnahme", IFERROR(IF(R127&gt;=VLOOKUP(G127&amp;LOWER(E127), Formeln!$H$2:$K$30, 4, FALSE), "Ehrenurkunde", IF(R127&gt;=VLOOKUP(G127&amp;LOWER(E127), Formeln!$H$2:$K$30, 3, FALSE), "Siegerurkunde", "Teilnehmerurkunde")), "Keine Urkunde"))</f>
        <v>Siegerurkunde</v>
      </c>
      <c r="T127" s="22">
        <f t="shared" si="10"/>
        <v>1.9</v>
      </c>
    </row>
    <row r="128" ht="19.5" customHeight="1">
      <c r="A128" s="7" t="str">
        <f>IF(ASV_Daten!A118="","",ASV_Daten!A118)</f>
        <v>R6B</v>
      </c>
      <c r="B128" s="7" t="str">
        <f>IF(ASV_Daten!B118="","",ASV_Daten!B118)</f>
        <v>Mayer</v>
      </c>
      <c r="C128" s="7" t="str">
        <f>IF(ASV_Daten!C118="","",ASV_Daten!C118)</f>
        <v>Oliver</v>
      </c>
      <c r="D128" s="7">
        <f>IF(ASV_Daten!D118="","",ASV_Daten!D118)</f>
        <v>2014</v>
      </c>
      <c r="E128" s="7" t="str">
        <f>IF(ASV_Daten!E118="","",ASV_Daten!E118)</f>
        <v>M</v>
      </c>
      <c r="F128" s="8" t="str">
        <f t="shared" si="1"/>
        <v>6</v>
      </c>
      <c r="G128" s="9">
        <f t="shared" si="2"/>
        <v>12</v>
      </c>
      <c r="H128" s="11"/>
      <c r="I128" s="11">
        <f t="shared" si="3"/>
        <v>0</v>
      </c>
      <c r="J128" s="12">
        <v>7.6</v>
      </c>
      <c r="K128" s="11">
        <f t="shared" si="4"/>
        <v>375</v>
      </c>
      <c r="L128" s="12">
        <v>3.13</v>
      </c>
      <c r="M128" s="11">
        <f t="shared" si="5"/>
        <v>282</v>
      </c>
      <c r="N128" s="12">
        <v>29.0</v>
      </c>
      <c r="O128" s="11">
        <f t="shared" si="6"/>
        <v>235</v>
      </c>
      <c r="P128" s="11" t="str">
        <f t="shared" si="7"/>
        <v>Punkte M 5-6</v>
      </c>
      <c r="Q128" s="11" t="str">
        <f t="shared" si="8"/>
        <v>Noten-Matrix-Jungen</v>
      </c>
      <c r="R128" s="13">
        <f t="shared" si="9"/>
        <v>892</v>
      </c>
      <c r="S128" s="11" t="str">
        <f>IF(R128=0, "Keine Teilnahme", IFERROR(IF(R128&gt;=VLOOKUP(G128&amp;LOWER(E128), Formeln!$H$2:$K$30, 4, FALSE), "Ehrenurkunde", IF(R128&gt;=VLOOKUP(G128&amp;LOWER(E128), Formeln!$H$2:$K$30, 3, FALSE), "Siegerurkunde", "Teilnehmerurkunde")), "Keine Urkunde"))</f>
        <v>Siegerurkunde</v>
      </c>
      <c r="T128" s="14">
        <f t="shared" si="10"/>
        <v>2</v>
      </c>
    </row>
    <row r="129" ht="19.5" customHeight="1">
      <c r="A129" s="15" t="str">
        <f>IF(ASV_Daten!A122="","",ASV_Daten!A122)</f>
        <v>R6B</v>
      </c>
      <c r="B129" s="15" t="str">
        <f>IF(ASV_Daten!B122="","",ASV_Daten!B122)</f>
        <v>Nyirö</v>
      </c>
      <c r="C129" s="15" t="str">
        <f>IF(ASV_Daten!C122="","",ASV_Daten!C122)</f>
        <v>Panna</v>
      </c>
      <c r="D129" s="15">
        <f>IF(ASV_Daten!D122="","",ASV_Daten!D122)</f>
        <v>2014</v>
      </c>
      <c r="E129" s="15" t="str">
        <f>IF(ASV_Daten!E122="","",ASV_Daten!E122)</f>
        <v>W</v>
      </c>
      <c r="F129" s="16" t="str">
        <f t="shared" si="1"/>
        <v>6</v>
      </c>
      <c r="G129" s="17">
        <f t="shared" si="2"/>
        <v>12</v>
      </c>
      <c r="H129" s="25"/>
      <c r="I129" s="19">
        <f t="shared" si="3"/>
        <v>0</v>
      </c>
      <c r="J129" s="20">
        <v>8.9</v>
      </c>
      <c r="K129" s="19">
        <f t="shared" si="4"/>
        <v>276</v>
      </c>
      <c r="L129" s="20">
        <v>2.93</v>
      </c>
      <c r="M129" s="19">
        <f t="shared" si="5"/>
        <v>297</v>
      </c>
      <c r="N129" s="20">
        <v>12.0</v>
      </c>
      <c r="O129" s="19">
        <f t="shared" si="6"/>
        <v>164</v>
      </c>
      <c r="P129" s="19" t="str">
        <f t="shared" si="7"/>
        <v>Punkte W 5-6</v>
      </c>
      <c r="Q129" s="19" t="str">
        <f t="shared" si="8"/>
        <v>Noten-Matrix-Mädchen</v>
      </c>
      <c r="R129" s="21">
        <f t="shared" si="9"/>
        <v>737</v>
      </c>
      <c r="S129" s="19" t="str">
        <f>IF(R129=0, "Keine Teilnahme", IFERROR(IF(R129&gt;=VLOOKUP(G129&amp;LOWER(E129), Formeln!$H$2:$K$30, 4, FALSE), "Ehrenurkunde", IF(R129&gt;=VLOOKUP(G129&amp;LOWER(E129), Formeln!$H$2:$K$30, 3, FALSE), "Siegerurkunde", "Teilnehmerurkunde")), "Keine Urkunde"))</f>
        <v>Teilnehmerurkunde</v>
      </c>
      <c r="T129" s="22">
        <f t="shared" si="10"/>
        <v>3</v>
      </c>
    </row>
    <row r="130" ht="19.5" customHeight="1">
      <c r="A130" s="7" t="str">
        <f>IF(ASV_Daten!A113="","",ASV_Daten!A113)</f>
        <v>R6B</v>
      </c>
      <c r="B130" s="7" t="str">
        <f>IF(ASV_Daten!B113="","",ASV_Daten!B113)</f>
        <v>Kraus</v>
      </c>
      <c r="C130" s="7" t="str">
        <f>IF(ASV_Daten!C113="","",ASV_Daten!C113)</f>
        <v>Paul</v>
      </c>
      <c r="D130" s="7">
        <f>IF(ASV_Daten!D113="","",ASV_Daten!D113)</f>
        <v>2014</v>
      </c>
      <c r="E130" s="7" t="str">
        <f>IF(ASV_Daten!E113="","",ASV_Daten!E113)</f>
        <v>M</v>
      </c>
      <c r="F130" s="8" t="str">
        <f t="shared" si="1"/>
        <v>6</v>
      </c>
      <c r="G130" s="9">
        <f t="shared" si="2"/>
        <v>12</v>
      </c>
      <c r="H130" s="11"/>
      <c r="I130" s="11">
        <f t="shared" si="3"/>
        <v>0</v>
      </c>
      <c r="J130" s="12">
        <v>9.5</v>
      </c>
      <c r="K130" s="11">
        <f t="shared" si="4"/>
        <v>194</v>
      </c>
      <c r="L130" s="12">
        <v>2.85</v>
      </c>
      <c r="M130" s="11">
        <f t="shared" si="5"/>
        <v>245</v>
      </c>
      <c r="N130" s="12">
        <v>22.5</v>
      </c>
      <c r="O130" s="11">
        <f t="shared" si="6"/>
        <v>176</v>
      </c>
      <c r="P130" s="11" t="str">
        <f t="shared" si="7"/>
        <v>Punkte M 5-6</v>
      </c>
      <c r="Q130" s="11" t="str">
        <f t="shared" si="8"/>
        <v>Noten-Matrix-Jungen</v>
      </c>
      <c r="R130" s="13">
        <f t="shared" si="9"/>
        <v>615</v>
      </c>
      <c r="S130" s="11" t="str">
        <f>IF(R130=0, "Keine Teilnahme", IFERROR(IF(R130&gt;=VLOOKUP(G130&amp;LOWER(E130), Formeln!$H$2:$K$30, 4, FALSE), "Ehrenurkunde", IF(R130&gt;=VLOOKUP(G130&amp;LOWER(E130), Formeln!$H$2:$K$30, 3, FALSE), "Siegerurkunde", "Teilnehmerurkunde")), "Keine Urkunde"))</f>
        <v>Teilnehmerurkunde</v>
      </c>
      <c r="T130" s="14">
        <f t="shared" si="10"/>
        <v>3.7</v>
      </c>
    </row>
    <row r="131" ht="19.5" customHeight="1">
      <c r="A131" s="15" t="str">
        <f>IF(ASV_Daten!A124="","",ASV_Daten!A124)</f>
        <v>R6B</v>
      </c>
      <c r="B131" s="15" t="str">
        <f>IF(ASV_Daten!B124="","",ASV_Daten!B124)</f>
        <v>Ruiz-Huber</v>
      </c>
      <c r="C131" s="15" t="str">
        <f>IF(ASV_Daten!C124="","",ASV_Daten!C124)</f>
        <v>Sarah</v>
      </c>
      <c r="D131" s="15">
        <f>IF(ASV_Daten!D124="","",ASV_Daten!D124)</f>
        <v>2013</v>
      </c>
      <c r="E131" s="15" t="str">
        <f>IF(ASV_Daten!E124="","",ASV_Daten!E124)</f>
        <v>W</v>
      </c>
      <c r="F131" s="16" t="str">
        <f t="shared" si="1"/>
        <v>6</v>
      </c>
      <c r="G131" s="17">
        <f t="shared" si="2"/>
        <v>13</v>
      </c>
      <c r="H131" s="19"/>
      <c r="I131" s="19">
        <f t="shared" si="3"/>
        <v>0</v>
      </c>
      <c r="J131" s="20">
        <v>10.0</v>
      </c>
      <c r="K131" s="19">
        <f t="shared" si="4"/>
        <v>187</v>
      </c>
      <c r="L131" s="20">
        <v>3.33</v>
      </c>
      <c r="M131" s="19">
        <f t="shared" si="5"/>
        <v>351</v>
      </c>
      <c r="N131" s="20">
        <v>13.5</v>
      </c>
      <c r="O131" s="19">
        <f t="shared" si="6"/>
        <v>188</v>
      </c>
      <c r="P131" s="19" t="str">
        <f t="shared" si="7"/>
        <v>Punkte W 5-6</v>
      </c>
      <c r="Q131" s="19" t="str">
        <f t="shared" si="8"/>
        <v>Noten-Matrix-Mädchen</v>
      </c>
      <c r="R131" s="21">
        <f t="shared" si="9"/>
        <v>726</v>
      </c>
      <c r="S131" s="19" t="str">
        <f>IF(R131=0, "Keine Teilnahme", IFERROR(IF(R131&gt;=VLOOKUP(G131&amp;LOWER(E131), Formeln!$H$2:$K$30, 4, FALSE), "Ehrenurkunde", IF(R131&gt;=VLOOKUP(G131&amp;LOWER(E131), Formeln!$H$2:$K$30, 3, FALSE), "Siegerurkunde", "Teilnehmerurkunde")), "Keine Urkunde"))</f>
        <v>Teilnehmerurkunde</v>
      </c>
      <c r="T131" s="22">
        <f t="shared" si="10"/>
        <v>3.4</v>
      </c>
    </row>
    <row r="132" ht="19.5" customHeight="1">
      <c r="A132" s="7" t="str">
        <f>IF(ASV_Daten!A115="","",ASV_Daten!A115)</f>
        <v>R6B</v>
      </c>
      <c r="B132" s="7" t="str">
        <f>IF(ASV_Daten!B115="","",ASV_Daten!B115)</f>
        <v>Kuttruff</v>
      </c>
      <c r="C132" s="7" t="str">
        <f>IF(ASV_Daten!C115="","",ASV_Daten!C115)</f>
        <v>Sascha</v>
      </c>
      <c r="D132" s="7">
        <f>IF(ASV_Daten!D115="","",ASV_Daten!D115)</f>
        <v>2014</v>
      </c>
      <c r="E132" s="7" t="str">
        <f>IF(ASV_Daten!E115="","",ASV_Daten!E115)</f>
        <v>M</v>
      </c>
      <c r="F132" s="8" t="str">
        <f t="shared" si="1"/>
        <v>6</v>
      </c>
      <c r="G132" s="9">
        <f t="shared" si="2"/>
        <v>12</v>
      </c>
      <c r="H132" s="11"/>
      <c r="I132" s="11">
        <f t="shared" si="3"/>
        <v>0</v>
      </c>
      <c r="J132" s="12">
        <v>9.2</v>
      </c>
      <c r="K132" s="11">
        <f t="shared" si="4"/>
        <v>218</v>
      </c>
      <c r="L132" s="12">
        <v>3.29</v>
      </c>
      <c r="M132" s="11">
        <f t="shared" si="5"/>
        <v>302</v>
      </c>
      <c r="N132" s="12">
        <v>17.5</v>
      </c>
      <c r="O132" s="11">
        <f t="shared" si="6"/>
        <v>125</v>
      </c>
      <c r="P132" s="11" t="str">
        <f t="shared" si="7"/>
        <v>Punkte M 5-6</v>
      </c>
      <c r="Q132" s="11" t="str">
        <f t="shared" si="8"/>
        <v>Noten-Matrix-Jungen</v>
      </c>
      <c r="R132" s="13">
        <f t="shared" si="9"/>
        <v>645</v>
      </c>
      <c r="S132" s="11" t="str">
        <f>IF(R132=0, "Keine Teilnahme", IFERROR(IF(R132&gt;=VLOOKUP(G132&amp;LOWER(E132), Formeln!$H$2:$K$30, 4, FALSE), "Ehrenurkunde", IF(R132&gt;=VLOOKUP(G132&amp;LOWER(E132), Formeln!$H$2:$K$30, 3, FALSE), "Siegerurkunde", "Teilnehmerurkunde")), "Keine Urkunde"))</f>
        <v>Teilnehmerurkunde</v>
      </c>
      <c r="T132" s="14">
        <f t="shared" si="10"/>
        <v>3.4</v>
      </c>
    </row>
    <row r="133" ht="19.5" customHeight="1">
      <c r="A133" s="15" t="str">
        <f>IF(ASV_Daten!A129="","",ASV_Daten!A129)</f>
        <v>R6B</v>
      </c>
      <c r="B133" s="15" t="str">
        <f>IF(ASV_Daten!B129="","",ASV_Daten!B129)</f>
        <v>Steiert</v>
      </c>
      <c r="C133" s="15" t="str">
        <f>IF(ASV_Daten!C129="","",ASV_Daten!C129)</f>
        <v>Simon</v>
      </c>
      <c r="D133" s="15">
        <f>IF(ASV_Daten!D129="","",ASV_Daten!D129)</f>
        <v>2014</v>
      </c>
      <c r="E133" s="15" t="str">
        <f>IF(ASV_Daten!E129="","",ASV_Daten!E129)</f>
        <v>M</v>
      </c>
      <c r="F133" s="16" t="str">
        <f t="shared" si="1"/>
        <v>6</v>
      </c>
      <c r="G133" s="17">
        <f t="shared" si="2"/>
        <v>12</v>
      </c>
      <c r="H133" s="19"/>
      <c r="I133" s="19">
        <f t="shared" si="3"/>
        <v>0</v>
      </c>
      <c r="J133" s="20">
        <v>7.8</v>
      </c>
      <c r="K133" s="19">
        <f t="shared" si="4"/>
        <v>352</v>
      </c>
      <c r="L133" s="20">
        <v>3.73</v>
      </c>
      <c r="M133" s="19">
        <f t="shared" si="5"/>
        <v>356</v>
      </c>
      <c r="N133" s="20">
        <v>18.5</v>
      </c>
      <c r="O133" s="19">
        <f t="shared" si="6"/>
        <v>136</v>
      </c>
      <c r="P133" s="19" t="str">
        <f t="shared" si="7"/>
        <v>Punkte M 5-6</v>
      </c>
      <c r="Q133" s="19" t="str">
        <f t="shared" si="8"/>
        <v>Noten-Matrix-Jungen</v>
      </c>
      <c r="R133" s="21">
        <f t="shared" si="9"/>
        <v>844</v>
      </c>
      <c r="S133" s="19" t="str">
        <f>IF(R133=0, "Keine Teilnahme", IFERROR(IF(R133&gt;=VLOOKUP(G133&amp;LOWER(E133), Formeln!$H$2:$K$30, 4, FALSE), "Ehrenurkunde", IF(R133&gt;=VLOOKUP(G133&amp;LOWER(E133), Formeln!$H$2:$K$30, 3, FALSE), "Siegerurkunde", "Teilnehmerurkunde")), "Keine Urkunde"))</f>
        <v>Siegerurkunde</v>
      </c>
      <c r="T133" s="22">
        <f t="shared" si="10"/>
        <v>2.2</v>
      </c>
    </row>
    <row r="134" ht="19.5" hidden="1" customHeight="1">
      <c r="A134" s="7" t="str">
        <f>IF(ASV_Daten!A161="","",ASV_Daten!A161)</f>
        <v>R6C</v>
      </c>
      <c r="B134" s="7" t="str">
        <f>IF(ASV_Daten!B161="","",ASV_Daten!B161)</f>
        <v>Winterhalter</v>
      </c>
      <c r="C134" s="7" t="str">
        <f>IF(ASV_Daten!C161="","",ASV_Daten!C161)</f>
        <v>Carina-Sofia</v>
      </c>
      <c r="D134" s="7">
        <f>IF(ASV_Daten!D161="","",ASV_Daten!D161)</f>
        <v>2013</v>
      </c>
      <c r="E134" s="7" t="str">
        <f>IF(ASV_Daten!E161="","",ASV_Daten!E161)</f>
        <v>W</v>
      </c>
      <c r="F134" s="8" t="str">
        <f t="shared" si="1"/>
        <v>6</v>
      </c>
      <c r="G134" s="9">
        <f t="shared" si="2"/>
        <v>13</v>
      </c>
      <c r="H134" s="27"/>
      <c r="I134" s="11">
        <f t="shared" si="3"/>
        <v>0</v>
      </c>
      <c r="J134" s="12">
        <v>8.5</v>
      </c>
      <c r="K134" s="11">
        <f t="shared" si="4"/>
        <v>314</v>
      </c>
      <c r="L134" s="12">
        <v>3.05</v>
      </c>
      <c r="M134" s="11">
        <f t="shared" si="5"/>
        <v>313</v>
      </c>
      <c r="N134" s="12">
        <v>20.5</v>
      </c>
      <c r="O134" s="11">
        <f t="shared" si="6"/>
        <v>286</v>
      </c>
      <c r="P134" s="11" t="str">
        <f t="shared" si="7"/>
        <v>Punkte W 5-6</v>
      </c>
      <c r="Q134" s="11" t="str">
        <f t="shared" si="8"/>
        <v>Noten-Matrix-Mädchen</v>
      </c>
      <c r="R134" s="13">
        <f t="shared" si="9"/>
        <v>913</v>
      </c>
      <c r="S134" s="11" t="str">
        <f>IF(R134=0, "Keine Teilnahme", IFERROR(IF(R134&gt;=VLOOKUP(G134&amp;LOWER(E134), Formeln!$H$2:$K$30, 4, FALSE), "Ehrenurkunde", IF(R134&gt;=VLOOKUP(G134&amp;LOWER(E134), Formeln!$H$2:$K$30, 3, FALSE), "Siegerurkunde", "Teilnehmerurkunde")), "Keine Urkunde"))</f>
        <v>Siegerurkunde</v>
      </c>
      <c r="T134" s="14">
        <f t="shared" si="10"/>
        <v>2.2</v>
      </c>
    </row>
    <row r="135" ht="19.5" hidden="1" customHeight="1">
      <c r="A135" s="15" t="str">
        <f>IF(ASV_Daten!A139="","",ASV_Daten!A139)</f>
        <v>R6C</v>
      </c>
      <c r="B135" s="15" t="str">
        <f>IF(ASV_Daten!B139="","",ASV_Daten!B139)</f>
        <v>Fischer</v>
      </c>
      <c r="C135" s="15" t="str">
        <f>IF(ASV_Daten!C139="","",ASV_Daten!C139)</f>
        <v>Dominik</v>
      </c>
      <c r="D135" s="15">
        <f>IF(ASV_Daten!D139="","",ASV_Daten!D139)</f>
        <v>2013</v>
      </c>
      <c r="E135" s="15" t="str">
        <f>IF(ASV_Daten!E139="","",ASV_Daten!E139)</f>
        <v>M</v>
      </c>
      <c r="F135" s="16" t="str">
        <f t="shared" si="1"/>
        <v>6</v>
      </c>
      <c r="G135" s="17">
        <f t="shared" si="2"/>
        <v>13</v>
      </c>
      <c r="H135" s="19"/>
      <c r="I135" s="19">
        <f t="shared" si="3"/>
        <v>0</v>
      </c>
      <c r="J135" s="19"/>
      <c r="K135" s="19">
        <f t="shared" si="4"/>
        <v>0</v>
      </c>
      <c r="L135" s="19"/>
      <c r="M135" s="19">
        <f t="shared" si="5"/>
        <v>0</v>
      </c>
      <c r="N135" s="19"/>
      <c r="O135" s="19">
        <f t="shared" si="6"/>
        <v>0</v>
      </c>
      <c r="P135" s="19" t="str">
        <f t="shared" si="7"/>
        <v>Punkte M 5-6</v>
      </c>
      <c r="Q135" s="19" t="str">
        <f t="shared" si="8"/>
        <v>Noten-Matrix-Jungen</v>
      </c>
      <c r="R135" s="21">
        <f t="shared" si="9"/>
        <v>0</v>
      </c>
      <c r="S135" s="19" t="str">
        <f>IF(R135=0, "Keine Teilnahme", IFERROR(IF(R135&gt;=VLOOKUP(G135&amp;LOWER(E135), Formeln!$H$2:$K$30, 4, FALSE), "Ehrenurkunde", IF(R135&gt;=VLOOKUP(G135&amp;LOWER(E135), Formeln!$H$2:$K$30, 3, FALSE), "Siegerurkunde", "Teilnehmerurkunde")), "Keine Urkunde"))</f>
        <v>Keine Teilnahme</v>
      </c>
      <c r="T135" s="22" t="str">
        <f t="shared" si="10"/>
        <v>Keine Teilnahme</v>
      </c>
    </row>
    <row r="136" ht="19.5" hidden="1" customHeight="1">
      <c r="A136" s="7" t="str">
        <f>IF(ASV_Daten!A157="","",ASV_Daten!A157)</f>
        <v>R6C</v>
      </c>
      <c r="B136" s="7" t="str">
        <f>IF(ASV_Daten!B157="","",ASV_Daten!B157)</f>
        <v>Schell</v>
      </c>
      <c r="C136" s="7" t="str">
        <f>IF(ASV_Daten!C157="","",ASV_Daten!C157)</f>
        <v>Emilian</v>
      </c>
      <c r="D136" s="7">
        <f>IF(ASV_Daten!D157="","",ASV_Daten!D157)</f>
        <v>2013</v>
      </c>
      <c r="E136" s="7" t="str">
        <f>IF(ASV_Daten!E157="","",ASV_Daten!E157)</f>
        <v>M</v>
      </c>
      <c r="F136" s="8" t="str">
        <f t="shared" si="1"/>
        <v>6</v>
      </c>
      <c r="G136" s="9">
        <f t="shared" si="2"/>
        <v>13</v>
      </c>
      <c r="H136" s="11"/>
      <c r="I136" s="11">
        <f t="shared" si="3"/>
        <v>0</v>
      </c>
      <c r="J136" s="12">
        <v>7.9</v>
      </c>
      <c r="K136" s="11">
        <f t="shared" si="4"/>
        <v>340</v>
      </c>
      <c r="L136" s="12">
        <v>3.09</v>
      </c>
      <c r="M136" s="11">
        <f t="shared" si="5"/>
        <v>277</v>
      </c>
      <c r="N136" s="12">
        <v>23.0</v>
      </c>
      <c r="O136" s="11">
        <f t="shared" si="6"/>
        <v>181</v>
      </c>
      <c r="P136" s="11" t="str">
        <f t="shared" si="7"/>
        <v>Punkte M 5-6</v>
      </c>
      <c r="Q136" s="11" t="str">
        <f t="shared" si="8"/>
        <v>Noten-Matrix-Jungen</v>
      </c>
      <c r="R136" s="13">
        <f t="shared" si="9"/>
        <v>798</v>
      </c>
      <c r="S136" s="11" t="str">
        <f>IF(R136=0, "Keine Teilnahme", IFERROR(IF(R136&gt;=VLOOKUP(G136&amp;LOWER(E136), Formeln!$H$2:$K$30, 4, FALSE), "Ehrenurkunde", IF(R136&gt;=VLOOKUP(G136&amp;LOWER(E136), Formeln!$H$2:$K$30, 3, FALSE), "Siegerurkunde", "Teilnehmerurkunde")), "Keine Urkunde"))</f>
        <v>Teilnehmerurkunde</v>
      </c>
      <c r="T136" s="14">
        <f t="shared" si="10"/>
        <v>2.9</v>
      </c>
    </row>
    <row r="137" ht="19.5" hidden="1" customHeight="1">
      <c r="A137" s="15" t="str">
        <f>IF(ASV_Daten!A149="","",ASV_Daten!A149)</f>
        <v>R6C</v>
      </c>
      <c r="B137" s="15" t="str">
        <f>IF(ASV_Daten!B149="","",ASV_Daten!B149)</f>
        <v>Osas</v>
      </c>
      <c r="C137" s="15" t="str">
        <f>IF(ASV_Daten!C149="","",ASV_Daten!C149)</f>
        <v>Favour</v>
      </c>
      <c r="D137" s="15">
        <f>IF(ASV_Daten!D149="","",ASV_Daten!D149)</f>
        <v>2013</v>
      </c>
      <c r="E137" s="15" t="str">
        <f>IF(ASV_Daten!E149="","",ASV_Daten!E149)</f>
        <v>M</v>
      </c>
      <c r="F137" s="16" t="str">
        <f t="shared" si="1"/>
        <v>6</v>
      </c>
      <c r="G137" s="17">
        <f t="shared" si="2"/>
        <v>13</v>
      </c>
      <c r="H137" s="25"/>
      <c r="I137" s="19">
        <f t="shared" si="3"/>
        <v>0</v>
      </c>
      <c r="J137" s="20">
        <v>7.2</v>
      </c>
      <c r="K137" s="19">
        <f t="shared" si="4"/>
        <v>424</v>
      </c>
      <c r="L137" s="20">
        <v>4.21</v>
      </c>
      <c r="M137" s="19">
        <f t="shared" si="5"/>
        <v>411</v>
      </c>
      <c r="N137" s="20">
        <v>21.0</v>
      </c>
      <c r="O137" s="19">
        <f t="shared" si="6"/>
        <v>162</v>
      </c>
      <c r="P137" s="19" t="str">
        <f t="shared" si="7"/>
        <v>Punkte M 5-6</v>
      </c>
      <c r="Q137" s="19" t="str">
        <f t="shared" si="8"/>
        <v>Noten-Matrix-Jungen</v>
      </c>
      <c r="R137" s="21">
        <f t="shared" si="9"/>
        <v>997</v>
      </c>
      <c r="S137" s="19" t="str">
        <f>IF(R137=0, "Keine Teilnahme", IFERROR(IF(R137&gt;=VLOOKUP(G137&amp;LOWER(E137), Formeln!$H$2:$K$30, 4, FALSE), "Ehrenurkunde", IF(R137&gt;=VLOOKUP(G137&amp;LOWER(E137), Formeln!$H$2:$K$30, 3, FALSE), "Siegerurkunde", "Teilnehmerurkunde")), "Keine Urkunde"))</f>
        <v>Siegerurkunde</v>
      </c>
      <c r="T137" s="22">
        <f t="shared" si="10"/>
        <v>1.8</v>
      </c>
    </row>
    <row r="138" ht="19.5" hidden="1" customHeight="1">
      <c r="A138" s="7" t="str">
        <f>IF(ASV_Daten!A155="","",ASV_Daten!A155)</f>
        <v>R6C</v>
      </c>
      <c r="B138" s="7" t="str">
        <f>IF(ASV_Daten!B155="","",ASV_Daten!B155)</f>
        <v>Rudigier</v>
      </c>
      <c r="C138" s="7" t="str">
        <f>IF(ASV_Daten!C155="","",ASV_Daten!C155)</f>
        <v>Jackie</v>
      </c>
      <c r="D138" s="7">
        <f>IF(ASV_Daten!D155="","",ASV_Daten!D155)</f>
        <v>2014</v>
      </c>
      <c r="E138" s="7" t="str">
        <f>IF(ASV_Daten!E155="","",ASV_Daten!E155)</f>
        <v>W</v>
      </c>
      <c r="F138" s="8" t="str">
        <f t="shared" si="1"/>
        <v>6</v>
      </c>
      <c r="G138" s="9">
        <f t="shared" si="2"/>
        <v>12</v>
      </c>
      <c r="H138" s="11"/>
      <c r="I138" s="11">
        <f t="shared" si="3"/>
        <v>0</v>
      </c>
      <c r="J138" s="12">
        <v>8.1</v>
      </c>
      <c r="K138" s="11">
        <f t="shared" si="4"/>
        <v>355</v>
      </c>
      <c r="L138" s="12">
        <v>3.21</v>
      </c>
      <c r="M138" s="11">
        <f t="shared" si="5"/>
        <v>335</v>
      </c>
      <c r="N138" s="12">
        <v>25.5</v>
      </c>
      <c r="O138" s="11">
        <f t="shared" si="6"/>
        <v>346</v>
      </c>
      <c r="P138" s="11" t="str">
        <f t="shared" si="7"/>
        <v>Punkte W 5-6</v>
      </c>
      <c r="Q138" s="11" t="str">
        <f t="shared" si="8"/>
        <v>Noten-Matrix-Mädchen</v>
      </c>
      <c r="R138" s="13">
        <f t="shared" si="9"/>
        <v>1036</v>
      </c>
      <c r="S138" s="11" t="str">
        <f>IF(R138=0, "Keine Teilnahme", IFERROR(IF(R138&gt;=VLOOKUP(G138&amp;LOWER(E138), Formeln!$H$2:$K$30, 4, FALSE), "Ehrenurkunde", IF(R138&gt;=VLOOKUP(G138&amp;LOWER(E138), Formeln!$H$2:$K$30, 3, FALSE), "Siegerurkunde", "Teilnehmerurkunde")), "Keine Urkunde"))</f>
        <v>Ehrenurkunde</v>
      </c>
      <c r="T138" s="14">
        <f t="shared" si="10"/>
        <v>1.2</v>
      </c>
    </row>
    <row r="139" ht="19.5" hidden="1" customHeight="1">
      <c r="A139" s="15" t="str">
        <f>IF(ASV_Daten!A154="","",ASV_Daten!A154)</f>
        <v>R6C</v>
      </c>
      <c r="B139" s="15" t="str">
        <f>IF(ASV_Daten!B154="","",ASV_Daten!B154)</f>
        <v>Reinauer</v>
      </c>
      <c r="C139" s="15" t="str">
        <f>IF(ASV_Daten!C154="","",ASV_Daten!C154)</f>
        <v>Johan</v>
      </c>
      <c r="D139" s="15">
        <f>IF(ASV_Daten!D154="","",ASV_Daten!D154)</f>
        <v>2014</v>
      </c>
      <c r="E139" s="15" t="str">
        <f>IF(ASV_Daten!E154="","",ASV_Daten!E154)</f>
        <v>M</v>
      </c>
      <c r="F139" s="16" t="str">
        <f t="shared" si="1"/>
        <v>6</v>
      </c>
      <c r="G139" s="17">
        <f t="shared" si="2"/>
        <v>12</v>
      </c>
      <c r="H139" s="19"/>
      <c r="I139" s="19">
        <f t="shared" si="3"/>
        <v>0</v>
      </c>
      <c r="J139" s="20">
        <v>9.1</v>
      </c>
      <c r="K139" s="19">
        <f t="shared" si="4"/>
        <v>226</v>
      </c>
      <c r="L139" s="20">
        <v>2.81</v>
      </c>
      <c r="M139" s="19">
        <f t="shared" si="5"/>
        <v>240</v>
      </c>
      <c r="N139" s="20">
        <v>25.0</v>
      </c>
      <c r="O139" s="19">
        <f t="shared" si="6"/>
        <v>200</v>
      </c>
      <c r="P139" s="19" t="str">
        <f t="shared" si="7"/>
        <v>Punkte M 5-6</v>
      </c>
      <c r="Q139" s="19" t="str">
        <f t="shared" si="8"/>
        <v>Noten-Matrix-Jungen</v>
      </c>
      <c r="R139" s="21">
        <f t="shared" si="9"/>
        <v>666</v>
      </c>
      <c r="S139" s="19" t="str">
        <f>IF(R139=0, "Keine Teilnahme", IFERROR(IF(R139&gt;=VLOOKUP(G139&amp;LOWER(E139), Formeln!$H$2:$K$30, 4, FALSE), "Ehrenurkunde", IF(R139&gt;=VLOOKUP(G139&amp;LOWER(E139), Formeln!$H$2:$K$30, 3, FALSE), "Siegerurkunde", "Teilnehmerurkunde")), "Keine Urkunde"))</f>
        <v>Teilnehmerurkunde</v>
      </c>
      <c r="T139" s="22">
        <f t="shared" si="10"/>
        <v>3.3</v>
      </c>
    </row>
    <row r="140" ht="19.5" hidden="1" customHeight="1">
      <c r="A140" s="7" t="str">
        <f>IF(ASV_Daten!A143="","",ASV_Daten!A143)</f>
        <v>R6C</v>
      </c>
      <c r="B140" s="7" t="str">
        <f>IF(ASV_Daten!B143="","",ASV_Daten!B143)</f>
        <v>Kaltenbach</v>
      </c>
      <c r="C140" s="7" t="str">
        <f>IF(ASV_Daten!C143="","",ASV_Daten!C143)</f>
        <v>Jonas</v>
      </c>
      <c r="D140" s="7">
        <f>IF(ASV_Daten!D143="","",ASV_Daten!D143)</f>
        <v>2014</v>
      </c>
      <c r="E140" s="7" t="str">
        <f>IF(ASV_Daten!E143="","",ASV_Daten!E143)</f>
        <v>M</v>
      </c>
      <c r="F140" s="8" t="str">
        <f t="shared" si="1"/>
        <v>6</v>
      </c>
      <c r="G140" s="9">
        <f t="shared" si="2"/>
        <v>12</v>
      </c>
      <c r="H140" s="10">
        <v>0.15416666666666667</v>
      </c>
      <c r="I140" s="11">
        <f t="shared" si="3"/>
        <v>391</v>
      </c>
      <c r="J140" s="11"/>
      <c r="K140" s="11">
        <f t="shared" si="4"/>
        <v>0</v>
      </c>
      <c r="L140" s="12">
        <v>3.69</v>
      </c>
      <c r="M140" s="11">
        <f t="shared" si="5"/>
        <v>351</v>
      </c>
      <c r="N140" s="12">
        <v>30.0</v>
      </c>
      <c r="O140" s="11">
        <f t="shared" si="6"/>
        <v>243</v>
      </c>
      <c r="P140" s="11" t="str">
        <f t="shared" si="7"/>
        <v>Punkte M 5-6</v>
      </c>
      <c r="Q140" s="11" t="str">
        <f t="shared" si="8"/>
        <v>Noten-Matrix-Jungen</v>
      </c>
      <c r="R140" s="13">
        <f t="shared" si="9"/>
        <v>985</v>
      </c>
      <c r="S140" s="11" t="str">
        <f>IF(R140=0, "Keine Teilnahme", IFERROR(IF(R140&gt;=VLOOKUP(G140&amp;LOWER(E140), Formeln!$H$2:$K$30, 4, FALSE), "Ehrenurkunde", IF(R140&gt;=VLOOKUP(G140&amp;LOWER(E140), Formeln!$H$2:$K$30, 3, FALSE), "Siegerurkunde", "Teilnehmerurkunde")), "Keine Urkunde"))</f>
        <v>Ehrenurkunde</v>
      </c>
      <c r="T140" s="14">
        <f t="shared" si="10"/>
        <v>1.5</v>
      </c>
    </row>
    <row r="141" ht="19.5" hidden="1" customHeight="1">
      <c r="A141" s="15" t="str">
        <f>IF(ASV_Daten!A141="","",ASV_Daten!A141)</f>
        <v>R6C</v>
      </c>
      <c r="B141" s="15" t="str">
        <f>IF(ASV_Daten!B141="","",ASV_Daten!B141)</f>
        <v>Hofmeier</v>
      </c>
      <c r="C141" s="15" t="str">
        <f>IF(ASV_Daten!C141="","",ASV_Daten!C141)</f>
        <v>Jonne</v>
      </c>
      <c r="D141" s="15">
        <f>IF(ASV_Daten!D141="","",ASV_Daten!D141)</f>
        <v>2013</v>
      </c>
      <c r="E141" s="15" t="str">
        <f>IF(ASV_Daten!E141="","",ASV_Daten!E141)</f>
        <v>M</v>
      </c>
      <c r="F141" s="16" t="str">
        <f t="shared" si="1"/>
        <v>6</v>
      </c>
      <c r="G141" s="17">
        <f t="shared" si="2"/>
        <v>13</v>
      </c>
      <c r="H141" s="25"/>
      <c r="I141" s="19">
        <f t="shared" si="3"/>
        <v>0</v>
      </c>
      <c r="J141" s="20">
        <v>8.3</v>
      </c>
      <c r="K141" s="19">
        <f t="shared" si="4"/>
        <v>299</v>
      </c>
      <c r="L141" s="20">
        <v>3.89</v>
      </c>
      <c r="M141" s="19">
        <f t="shared" si="5"/>
        <v>375</v>
      </c>
      <c r="N141" s="20">
        <v>29.0</v>
      </c>
      <c r="O141" s="19">
        <f t="shared" si="6"/>
        <v>235</v>
      </c>
      <c r="P141" s="19" t="str">
        <f t="shared" si="7"/>
        <v>Punkte M 5-6</v>
      </c>
      <c r="Q141" s="19" t="str">
        <f t="shared" si="8"/>
        <v>Noten-Matrix-Jungen</v>
      </c>
      <c r="R141" s="21">
        <f t="shared" si="9"/>
        <v>909</v>
      </c>
      <c r="S141" s="19" t="str">
        <f>IF(R141=0, "Keine Teilnahme", IFERROR(IF(R141&gt;=VLOOKUP(G141&amp;LOWER(E141), Formeln!$H$2:$K$30, 4, FALSE), "Ehrenurkunde", IF(R141&gt;=VLOOKUP(G141&amp;LOWER(E141), Formeln!$H$2:$K$30, 3, FALSE), "Siegerurkunde", "Teilnehmerurkunde")), "Keine Urkunde"))</f>
        <v>Siegerurkunde</v>
      </c>
      <c r="T141" s="22">
        <f t="shared" si="10"/>
        <v>2.3</v>
      </c>
    </row>
    <row r="142" ht="19.5" hidden="1" customHeight="1">
      <c r="A142" s="7" t="str">
        <f>IF(ASV_Daten!A152="","",ASV_Daten!A152)</f>
        <v>R6C</v>
      </c>
      <c r="B142" s="7" t="str">
        <f>IF(ASV_Daten!B152="","",ASV_Daten!B152)</f>
        <v>Pfaff</v>
      </c>
      <c r="C142" s="7" t="str">
        <f>IF(ASV_Daten!C152="","",ASV_Daten!C152)</f>
        <v>Joschua</v>
      </c>
      <c r="D142" s="7">
        <f>IF(ASV_Daten!D152="","",ASV_Daten!D152)</f>
        <v>2013</v>
      </c>
      <c r="E142" s="7" t="str">
        <f>IF(ASV_Daten!E152="","",ASV_Daten!E152)</f>
        <v>M</v>
      </c>
      <c r="F142" s="8" t="str">
        <f t="shared" si="1"/>
        <v>6</v>
      </c>
      <c r="G142" s="9">
        <f t="shared" si="2"/>
        <v>13</v>
      </c>
      <c r="H142" s="11"/>
      <c r="I142" s="11">
        <f t="shared" si="3"/>
        <v>0</v>
      </c>
      <c r="J142" s="12">
        <v>7.2</v>
      </c>
      <c r="K142" s="11">
        <f t="shared" si="4"/>
        <v>424</v>
      </c>
      <c r="L142" s="12">
        <v>3.57</v>
      </c>
      <c r="M142" s="11">
        <f t="shared" si="5"/>
        <v>337</v>
      </c>
      <c r="N142" s="12">
        <v>35.5</v>
      </c>
      <c r="O142" s="11">
        <f t="shared" si="6"/>
        <v>287</v>
      </c>
      <c r="P142" s="11" t="str">
        <f t="shared" si="7"/>
        <v>Punkte M 5-6</v>
      </c>
      <c r="Q142" s="11" t="str">
        <f t="shared" si="8"/>
        <v>Noten-Matrix-Jungen</v>
      </c>
      <c r="R142" s="13">
        <f t="shared" si="9"/>
        <v>1048</v>
      </c>
      <c r="S142" s="11" t="str">
        <f>IF(R142=0, "Keine Teilnahme", IFERROR(IF(R142&gt;=VLOOKUP(G142&amp;LOWER(E142), Formeln!$H$2:$K$30, 4, FALSE), "Ehrenurkunde", IF(R142&gt;=VLOOKUP(G142&amp;LOWER(E142), Formeln!$H$2:$K$30, 3, FALSE), "Siegerurkunde", "Teilnehmerurkunde")), "Keine Urkunde"))</f>
        <v>Siegerurkunde</v>
      </c>
      <c r="T142" s="14">
        <f t="shared" si="10"/>
        <v>1.6</v>
      </c>
    </row>
    <row r="143" ht="19.5" hidden="1" customHeight="1">
      <c r="A143" s="15" t="str">
        <f>IF(ASV_Daten!A146="","",ASV_Daten!A146)</f>
        <v>R6C</v>
      </c>
      <c r="B143" s="15" t="str">
        <f>IF(ASV_Daten!B146="","",ASV_Daten!B146)</f>
        <v>Matt</v>
      </c>
      <c r="C143" s="15" t="str">
        <f>IF(ASV_Daten!C146="","",ASV_Daten!C146)</f>
        <v>Julian</v>
      </c>
      <c r="D143" s="15">
        <f>IF(ASV_Daten!D146="","",ASV_Daten!D146)</f>
        <v>2013</v>
      </c>
      <c r="E143" s="15" t="str">
        <f>IF(ASV_Daten!E146="","",ASV_Daten!E146)</f>
        <v>M</v>
      </c>
      <c r="F143" s="16" t="str">
        <f t="shared" si="1"/>
        <v>6</v>
      </c>
      <c r="G143" s="17">
        <f t="shared" si="2"/>
        <v>13</v>
      </c>
      <c r="H143" s="19"/>
      <c r="I143" s="19">
        <f t="shared" si="3"/>
        <v>0</v>
      </c>
      <c r="J143" s="20">
        <v>9.8</v>
      </c>
      <c r="K143" s="19">
        <f t="shared" si="4"/>
        <v>172</v>
      </c>
      <c r="L143" s="20">
        <v>2.81</v>
      </c>
      <c r="M143" s="19">
        <f t="shared" si="5"/>
        <v>240</v>
      </c>
      <c r="N143" s="20">
        <v>33.5</v>
      </c>
      <c r="O143" s="19">
        <f t="shared" si="6"/>
        <v>271</v>
      </c>
      <c r="P143" s="19" t="str">
        <f t="shared" si="7"/>
        <v>Punkte M 5-6</v>
      </c>
      <c r="Q143" s="19" t="str">
        <f t="shared" si="8"/>
        <v>Noten-Matrix-Jungen</v>
      </c>
      <c r="R143" s="21">
        <f t="shared" si="9"/>
        <v>683</v>
      </c>
      <c r="S143" s="19" t="str">
        <f>IF(R143=0, "Keine Teilnahme", IFERROR(IF(R143&gt;=VLOOKUP(G143&amp;LOWER(E143), Formeln!$H$2:$K$30, 4, FALSE), "Ehrenurkunde", IF(R143&gt;=VLOOKUP(G143&amp;LOWER(E143), Formeln!$H$2:$K$30, 3, FALSE), "Siegerurkunde", "Teilnehmerurkunde")), "Keine Urkunde"))</f>
        <v>Teilnehmerurkunde</v>
      </c>
      <c r="T143" s="22">
        <f t="shared" si="10"/>
        <v>3.8</v>
      </c>
    </row>
    <row r="144" ht="19.5" hidden="1" customHeight="1">
      <c r="A144" s="7" t="str">
        <f>IF(ASV_Daten!A158="","",ASV_Daten!A158)</f>
        <v>R6C</v>
      </c>
      <c r="B144" s="7" t="str">
        <f>IF(ASV_Daten!B158="","",ASV_Daten!B158)</f>
        <v>Skrobo</v>
      </c>
      <c r="C144" s="7" t="str">
        <f>IF(ASV_Daten!C158="","",ASV_Daten!C158)</f>
        <v>Jure</v>
      </c>
      <c r="D144" s="7">
        <f>IF(ASV_Daten!D158="","",ASV_Daten!D158)</f>
        <v>2013</v>
      </c>
      <c r="E144" s="7" t="str">
        <f>IF(ASV_Daten!E158="","",ASV_Daten!E158)</f>
        <v>M</v>
      </c>
      <c r="F144" s="8" t="str">
        <f t="shared" si="1"/>
        <v>6</v>
      </c>
      <c r="G144" s="9">
        <f t="shared" si="2"/>
        <v>13</v>
      </c>
      <c r="H144" s="11"/>
      <c r="I144" s="11">
        <f t="shared" si="3"/>
        <v>0</v>
      </c>
      <c r="J144" s="12">
        <v>9.4</v>
      </c>
      <c r="K144" s="11">
        <f t="shared" si="4"/>
        <v>202</v>
      </c>
      <c r="L144" s="12">
        <v>2.89</v>
      </c>
      <c r="M144" s="11">
        <f t="shared" si="5"/>
        <v>251</v>
      </c>
      <c r="N144" s="12">
        <v>26.0</v>
      </c>
      <c r="O144" s="11">
        <f t="shared" si="6"/>
        <v>209</v>
      </c>
      <c r="P144" s="11" t="str">
        <f t="shared" si="7"/>
        <v>Punkte M 5-6</v>
      </c>
      <c r="Q144" s="11" t="str">
        <f t="shared" si="8"/>
        <v>Noten-Matrix-Jungen</v>
      </c>
      <c r="R144" s="13">
        <f t="shared" si="9"/>
        <v>662</v>
      </c>
      <c r="S144" s="11" t="str">
        <f>IF(R144=0, "Keine Teilnahme", IFERROR(IF(R144&gt;=VLOOKUP(G144&amp;LOWER(E144), Formeln!$H$2:$K$30, 4, FALSE), "Ehrenurkunde", IF(R144&gt;=VLOOKUP(G144&amp;LOWER(E144), Formeln!$H$2:$K$30, 3, FALSE), "Siegerurkunde", "Teilnehmerurkunde")), "Keine Urkunde"))</f>
        <v>Teilnehmerurkunde</v>
      </c>
      <c r="T144" s="14">
        <f t="shared" si="10"/>
        <v>4</v>
      </c>
    </row>
    <row r="145" ht="19.5" hidden="1" customHeight="1">
      <c r="A145" s="15" t="str">
        <f>IF(ASV_Daten!A159="","",ASV_Daten!A159)</f>
        <v>R6C</v>
      </c>
      <c r="B145" s="15" t="str">
        <f>IF(ASV_Daten!B159="","",ASV_Daten!B159)</f>
        <v>Tkalec</v>
      </c>
      <c r="C145" s="15" t="str">
        <f>IF(ASV_Daten!C159="","",ASV_Daten!C159)</f>
        <v>Leo</v>
      </c>
      <c r="D145" s="15">
        <f>IF(ASV_Daten!D159="","",ASV_Daten!D159)</f>
        <v>2013</v>
      </c>
      <c r="E145" s="15" t="str">
        <f>IF(ASV_Daten!E159="","",ASV_Daten!E159)</f>
        <v>M</v>
      </c>
      <c r="F145" s="16" t="str">
        <f t="shared" si="1"/>
        <v>6</v>
      </c>
      <c r="G145" s="17">
        <f t="shared" si="2"/>
        <v>13</v>
      </c>
      <c r="H145" s="19"/>
      <c r="I145" s="19">
        <f t="shared" si="3"/>
        <v>0</v>
      </c>
      <c r="J145" s="20">
        <v>11.3</v>
      </c>
      <c r="K145" s="19">
        <f t="shared" si="4"/>
        <v>78</v>
      </c>
      <c r="L145" s="20">
        <v>2.01</v>
      </c>
      <c r="M145" s="19">
        <f t="shared" si="5"/>
        <v>122</v>
      </c>
      <c r="N145" s="20">
        <v>23.5</v>
      </c>
      <c r="O145" s="19">
        <f t="shared" si="6"/>
        <v>186</v>
      </c>
      <c r="P145" s="19" t="str">
        <f t="shared" si="7"/>
        <v>Punkte M 5-6</v>
      </c>
      <c r="Q145" s="19" t="str">
        <f t="shared" si="8"/>
        <v>Noten-Matrix-Jungen</v>
      </c>
      <c r="R145" s="21">
        <f t="shared" si="9"/>
        <v>386</v>
      </c>
      <c r="S145" s="19" t="str">
        <f>IF(R145=0, "Keine Teilnahme", IFERROR(IF(R145&gt;=VLOOKUP(G145&amp;LOWER(E145), Formeln!$H$2:$K$30, 4, FALSE), "Ehrenurkunde", IF(R145&gt;=VLOOKUP(G145&amp;LOWER(E145), Formeln!$H$2:$K$30, 3, FALSE), "Siegerurkunde", "Teilnehmerurkunde")), "Keine Urkunde"))</f>
        <v>Teilnehmerurkunde</v>
      </c>
      <c r="T145" s="22" t="str">
        <f t="shared" si="10"/>
        <v>NOTE</v>
      </c>
    </row>
    <row r="146" ht="19.5" hidden="1" customHeight="1">
      <c r="A146" s="7" t="str">
        <f>IF(ASV_Daten!A162="","",ASV_Daten!A162)</f>
        <v>R6C</v>
      </c>
      <c r="B146" s="7" t="str">
        <f>IF(ASV_Daten!B162="","",ASV_Daten!B162)</f>
        <v>Zähringer</v>
      </c>
      <c r="C146" s="7" t="str">
        <f>IF(ASV_Daten!C162="","",ASV_Daten!C162)</f>
        <v>Leon</v>
      </c>
      <c r="D146" s="7">
        <f>IF(ASV_Daten!D162="","",ASV_Daten!D162)</f>
        <v>2013</v>
      </c>
      <c r="E146" s="7" t="str">
        <f>IF(ASV_Daten!E162="","",ASV_Daten!E162)</f>
        <v>M</v>
      </c>
      <c r="F146" s="8" t="str">
        <f t="shared" si="1"/>
        <v>6</v>
      </c>
      <c r="G146" s="9">
        <f t="shared" si="2"/>
        <v>13</v>
      </c>
      <c r="H146" s="11"/>
      <c r="I146" s="11">
        <f t="shared" si="3"/>
        <v>0</v>
      </c>
      <c r="J146" s="11"/>
      <c r="K146" s="11">
        <f t="shared" si="4"/>
        <v>0</v>
      </c>
      <c r="L146" s="11"/>
      <c r="M146" s="11">
        <f t="shared" si="5"/>
        <v>0</v>
      </c>
      <c r="N146" s="11"/>
      <c r="O146" s="11">
        <f t="shared" si="6"/>
        <v>0</v>
      </c>
      <c r="P146" s="11" t="str">
        <f t="shared" si="7"/>
        <v>Punkte M 5-6</v>
      </c>
      <c r="Q146" s="11" t="str">
        <f t="shared" si="8"/>
        <v>Noten-Matrix-Jungen</v>
      </c>
      <c r="R146" s="13">
        <f t="shared" si="9"/>
        <v>0</v>
      </c>
      <c r="S146" s="11" t="str">
        <f>IF(R146=0, "Keine Teilnahme", IFERROR(IF(R146&gt;=VLOOKUP(G146&amp;LOWER(E146), Formeln!$H$2:$K$30, 4, FALSE), "Ehrenurkunde", IF(R146&gt;=VLOOKUP(G146&amp;LOWER(E146), Formeln!$H$2:$K$30, 3, FALSE), "Siegerurkunde", "Teilnehmerurkunde")), "Keine Urkunde"))</f>
        <v>Keine Teilnahme</v>
      </c>
      <c r="T146" s="14" t="str">
        <f t="shared" si="10"/>
        <v>Keine Teilnahme</v>
      </c>
    </row>
    <row r="147" ht="19.5" hidden="1" customHeight="1">
      <c r="A147" s="15" t="str">
        <f>IF(ASV_Daten!A136="","",ASV_Daten!A136)</f>
        <v>R6C</v>
      </c>
      <c r="B147" s="15" t="str">
        <f>IF(ASV_Daten!B136="","",ASV_Daten!B136)</f>
        <v>Dudas</v>
      </c>
      <c r="C147" s="15" t="str">
        <f>IF(ASV_Daten!C136="","",ASV_Daten!C136)</f>
        <v>Leona</v>
      </c>
      <c r="D147" s="15">
        <f>IF(ASV_Daten!D136="","",ASV_Daten!D136)</f>
        <v>2012</v>
      </c>
      <c r="E147" s="15" t="str">
        <f>IF(ASV_Daten!E136="","",ASV_Daten!E136)</f>
        <v>W</v>
      </c>
      <c r="F147" s="16" t="str">
        <f t="shared" si="1"/>
        <v>6</v>
      </c>
      <c r="G147" s="17">
        <f t="shared" si="2"/>
        <v>14</v>
      </c>
      <c r="H147" s="19"/>
      <c r="I147" s="19">
        <f t="shared" si="3"/>
        <v>0</v>
      </c>
      <c r="J147" s="20">
        <v>9.9</v>
      </c>
      <c r="K147" s="19">
        <f t="shared" si="4"/>
        <v>194</v>
      </c>
      <c r="L147" s="20">
        <v>2.29</v>
      </c>
      <c r="M147" s="19">
        <f t="shared" si="5"/>
        <v>201</v>
      </c>
      <c r="N147" s="20">
        <v>26.0</v>
      </c>
      <c r="O147" s="19">
        <f t="shared" si="6"/>
        <v>351</v>
      </c>
      <c r="P147" s="19" t="str">
        <f t="shared" si="7"/>
        <v>Punkte W 5-6</v>
      </c>
      <c r="Q147" s="19" t="str">
        <f t="shared" si="8"/>
        <v>Noten-Matrix-Mädchen</v>
      </c>
      <c r="R147" s="21">
        <f t="shared" si="9"/>
        <v>746</v>
      </c>
      <c r="S147" s="19" t="str">
        <f>IF(R147=0, "Keine Teilnahme", IFERROR(IF(R147&gt;=VLOOKUP(G147&amp;LOWER(E147), Formeln!$H$2:$K$30, 4, FALSE), "Ehrenurkunde", IF(R147&gt;=VLOOKUP(G147&amp;LOWER(E147), Formeln!$H$2:$K$30, 3, FALSE), "Siegerurkunde", "Teilnehmerurkunde")), "Keine Urkunde"))</f>
        <v>Teilnehmerurkunde</v>
      </c>
      <c r="T147" s="22">
        <f t="shared" si="10"/>
        <v>3.4</v>
      </c>
    </row>
    <row r="148" ht="19.5" hidden="1" customHeight="1">
      <c r="A148" s="7" t="str">
        <f>IF(ASV_Daten!A140="","",ASV_Daten!A140)</f>
        <v>R6C</v>
      </c>
      <c r="B148" s="7" t="str">
        <f>IF(ASV_Daten!B140="","",ASV_Daten!B140)</f>
        <v>Gut</v>
      </c>
      <c r="C148" s="7" t="str">
        <f>IF(ASV_Daten!C140="","",ASV_Daten!C140)</f>
        <v>Levin</v>
      </c>
      <c r="D148" s="7">
        <f>IF(ASV_Daten!D140="","",ASV_Daten!D140)</f>
        <v>2013</v>
      </c>
      <c r="E148" s="7" t="str">
        <f>IF(ASV_Daten!E140="","",ASV_Daten!E140)</f>
        <v>M</v>
      </c>
      <c r="F148" s="8" t="str">
        <f t="shared" si="1"/>
        <v>6</v>
      </c>
      <c r="G148" s="9">
        <f t="shared" si="2"/>
        <v>13</v>
      </c>
      <c r="H148" s="10">
        <v>0.1597222222222222</v>
      </c>
      <c r="I148" s="11">
        <f t="shared" si="3"/>
        <v>364</v>
      </c>
      <c r="J148" s="11"/>
      <c r="K148" s="11">
        <f t="shared" si="4"/>
        <v>0</v>
      </c>
      <c r="L148" s="12">
        <v>3.61</v>
      </c>
      <c r="M148" s="11">
        <f t="shared" si="5"/>
        <v>342</v>
      </c>
      <c r="N148" s="12">
        <v>33.5</v>
      </c>
      <c r="O148" s="11">
        <f t="shared" si="6"/>
        <v>271</v>
      </c>
      <c r="P148" s="11" t="str">
        <f t="shared" si="7"/>
        <v>Punkte M 5-6</v>
      </c>
      <c r="Q148" s="11" t="str">
        <f t="shared" si="8"/>
        <v>Noten-Matrix-Jungen</v>
      </c>
      <c r="R148" s="13">
        <f t="shared" si="9"/>
        <v>977</v>
      </c>
      <c r="S148" s="11" t="str">
        <f>IF(R148=0, "Keine Teilnahme", IFERROR(IF(R148&gt;=VLOOKUP(G148&amp;LOWER(E148), Formeln!$H$2:$K$30, 4, FALSE), "Ehrenurkunde", IF(R148&gt;=VLOOKUP(G148&amp;LOWER(E148), Formeln!$H$2:$K$30, 3, FALSE), "Siegerurkunde", "Teilnehmerurkunde")), "Keine Urkunde"))</f>
        <v>Siegerurkunde</v>
      </c>
      <c r="T148" s="14">
        <f t="shared" si="10"/>
        <v>1.9</v>
      </c>
    </row>
    <row r="149" ht="19.5" hidden="1" customHeight="1">
      <c r="A149" s="15" t="str">
        <f>IF(ASV_Daten!A135="","",ASV_Daten!A135)</f>
        <v>R6C</v>
      </c>
      <c r="B149" s="15" t="str">
        <f>IF(ASV_Daten!B135="","",ASV_Daten!B135)</f>
        <v>Belmokaddem</v>
      </c>
      <c r="C149" s="15" t="str">
        <f>IF(ASV_Daten!C135="","",ASV_Daten!C135)</f>
        <v>Lina</v>
      </c>
      <c r="D149" s="15">
        <f>IF(ASV_Daten!D135="","",ASV_Daten!D135)</f>
        <v>2014</v>
      </c>
      <c r="E149" s="15" t="str">
        <f>IF(ASV_Daten!E135="","",ASV_Daten!E135)</f>
        <v>W</v>
      </c>
      <c r="F149" s="16" t="str">
        <f t="shared" si="1"/>
        <v>6</v>
      </c>
      <c r="G149" s="17">
        <f t="shared" si="2"/>
        <v>12</v>
      </c>
      <c r="H149" s="19"/>
      <c r="I149" s="19">
        <f t="shared" si="3"/>
        <v>0</v>
      </c>
      <c r="J149" s="20">
        <v>10.6</v>
      </c>
      <c r="K149" s="19">
        <f t="shared" si="4"/>
        <v>146</v>
      </c>
      <c r="L149" s="20">
        <v>2.29</v>
      </c>
      <c r="M149" s="19">
        <f t="shared" si="5"/>
        <v>201</v>
      </c>
      <c r="N149" s="20">
        <v>14.5</v>
      </c>
      <c r="O149" s="19">
        <f t="shared" si="6"/>
        <v>204</v>
      </c>
      <c r="P149" s="19" t="str">
        <f t="shared" si="7"/>
        <v>Punkte W 5-6</v>
      </c>
      <c r="Q149" s="19" t="str">
        <f t="shared" si="8"/>
        <v>Noten-Matrix-Mädchen</v>
      </c>
      <c r="R149" s="21">
        <f t="shared" si="9"/>
        <v>551</v>
      </c>
      <c r="S149" s="19" t="str">
        <f>IF(R149=0, "Keine Teilnahme", IFERROR(IF(R149&gt;=VLOOKUP(G149&amp;LOWER(E149), Formeln!$H$2:$K$30, 4, FALSE), "Ehrenurkunde", IF(R149&gt;=VLOOKUP(G149&amp;LOWER(E149), Formeln!$H$2:$K$30, 3, FALSE), "Siegerurkunde", "Teilnehmerurkunde")), "Keine Urkunde"))</f>
        <v>Teilnehmerurkunde</v>
      </c>
      <c r="T149" s="22" t="str">
        <f t="shared" si="10"/>
        <v>NOTE</v>
      </c>
    </row>
    <row r="150" ht="19.5" hidden="1" customHeight="1">
      <c r="A150" s="7" t="str">
        <f>IF(ASV_Daten!A137="","",ASV_Daten!A137)</f>
        <v>R6C</v>
      </c>
      <c r="B150" s="7" t="str">
        <f>IF(ASV_Daten!B137="","",ASV_Daten!B137)</f>
        <v>Duri</v>
      </c>
      <c r="C150" s="7" t="str">
        <f>IF(ASV_Daten!C137="","",ASV_Daten!C137)</f>
        <v>Linus</v>
      </c>
      <c r="D150" s="7">
        <f>IF(ASV_Daten!D137="","",ASV_Daten!D137)</f>
        <v>2013</v>
      </c>
      <c r="E150" s="7" t="str">
        <f>IF(ASV_Daten!E137="","",ASV_Daten!E137)</f>
        <v>M</v>
      </c>
      <c r="F150" s="8" t="str">
        <f t="shared" si="1"/>
        <v>6</v>
      </c>
      <c r="G150" s="9">
        <f t="shared" si="2"/>
        <v>13</v>
      </c>
      <c r="H150" s="27"/>
      <c r="I150" s="11">
        <f t="shared" si="3"/>
        <v>0</v>
      </c>
      <c r="J150" s="12">
        <v>8.2</v>
      </c>
      <c r="K150" s="11">
        <f t="shared" si="4"/>
        <v>309</v>
      </c>
      <c r="L150" s="12">
        <v>3.89</v>
      </c>
      <c r="M150" s="11">
        <f t="shared" si="5"/>
        <v>375</v>
      </c>
      <c r="N150" s="12">
        <v>21.5</v>
      </c>
      <c r="O150" s="11">
        <f t="shared" si="6"/>
        <v>166</v>
      </c>
      <c r="P150" s="11" t="str">
        <f t="shared" si="7"/>
        <v>Punkte M 5-6</v>
      </c>
      <c r="Q150" s="11" t="str">
        <f t="shared" si="8"/>
        <v>Noten-Matrix-Jungen</v>
      </c>
      <c r="R150" s="13">
        <f t="shared" si="9"/>
        <v>850</v>
      </c>
      <c r="S150" s="11" t="str">
        <f>IF(R150=0, "Keine Teilnahme", IFERROR(IF(R150&gt;=VLOOKUP(G150&amp;LOWER(E150), Formeln!$H$2:$K$30, 4, FALSE), "Ehrenurkunde", IF(R150&gt;=VLOOKUP(G150&amp;LOWER(E150), Formeln!$H$2:$K$30, 3, FALSE), "Siegerurkunde", "Teilnehmerurkunde")), "Keine Urkunde"))</f>
        <v>Siegerurkunde</v>
      </c>
      <c r="T150" s="14">
        <f t="shared" si="10"/>
        <v>2.6</v>
      </c>
    </row>
    <row r="151" ht="19.5" hidden="1" customHeight="1">
      <c r="A151" s="15" t="str">
        <f>IF(ASV_Daten!A144="","",ASV_Daten!A144)</f>
        <v>R6C</v>
      </c>
      <c r="B151" s="15" t="str">
        <f>IF(ASV_Daten!B144="","",ASV_Daten!B144)</f>
        <v>Ketterer</v>
      </c>
      <c r="C151" s="15" t="str">
        <f>IF(ASV_Daten!C144="","",ASV_Daten!C144)</f>
        <v>Luisa</v>
      </c>
      <c r="D151" s="15">
        <f>IF(ASV_Daten!D144="","",ASV_Daten!D144)</f>
        <v>2013</v>
      </c>
      <c r="E151" s="15" t="str">
        <f>IF(ASV_Daten!E144="","",ASV_Daten!E144)</f>
        <v>W</v>
      </c>
      <c r="F151" s="16" t="str">
        <f t="shared" si="1"/>
        <v>6</v>
      </c>
      <c r="G151" s="17">
        <f t="shared" si="2"/>
        <v>13</v>
      </c>
      <c r="H151" s="19"/>
      <c r="I151" s="19">
        <f t="shared" si="3"/>
        <v>0</v>
      </c>
      <c r="J151" s="20">
        <v>8.5</v>
      </c>
      <c r="K151" s="19">
        <f t="shared" si="4"/>
        <v>314</v>
      </c>
      <c r="L151" s="20">
        <v>3.01</v>
      </c>
      <c r="M151" s="19">
        <f t="shared" si="5"/>
        <v>308</v>
      </c>
      <c r="N151" s="20">
        <v>14.0</v>
      </c>
      <c r="O151" s="19">
        <f t="shared" si="6"/>
        <v>196</v>
      </c>
      <c r="P151" s="19" t="str">
        <f t="shared" si="7"/>
        <v>Punkte W 5-6</v>
      </c>
      <c r="Q151" s="19" t="str">
        <f t="shared" si="8"/>
        <v>Noten-Matrix-Mädchen</v>
      </c>
      <c r="R151" s="21">
        <f t="shared" si="9"/>
        <v>818</v>
      </c>
      <c r="S151" s="19" t="str">
        <f>IF(R151=0, "Keine Teilnahme", IFERROR(IF(R151&gt;=VLOOKUP(G151&amp;LOWER(E151), Formeln!$H$2:$K$30, 4, FALSE), "Ehrenurkunde", IF(R151&gt;=VLOOKUP(G151&amp;LOWER(E151), Formeln!$H$2:$K$30, 3, FALSE), "Siegerurkunde", "Teilnehmerurkunde")), "Keine Urkunde"))</f>
        <v>Teilnehmerurkunde</v>
      </c>
      <c r="T151" s="22">
        <f t="shared" si="10"/>
        <v>2.8</v>
      </c>
    </row>
    <row r="152" ht="19.5" hidden="1" customHeight="1">
      <c r="A152" s="7" t="str">
        <f>IF(ASV_Daten!A145="","",ASV_Daten!A145)</f>
        <v>R6C</v>
      </c>
      <c r="B152" s="7" t="str">
        <f>IF(ASV_Daten!B145="","",ASV_Daten!B145)</f>
        <v>Lakmann</v>
      </c>
      <c r="C152" s="7" t="str">
        <f>IF(ASV_Daten!C145="","",ASV_Daten!C145)</f>
        <v>Maxim</v>
      </c>
      <c r="D152" s="7">
        <f>IF(ASV_Daten!D145="","",ASV_Daten!D145)</f>
        <v>2014</v>
      </c>
      <c r="E152" s="7" t="str">
        <f>IF(ASV_Daten!E145="","",ASV_Daten!E145)</f>
        <v>M</v>
      </c>
      <c r="F152" s="8" t="str">
        <f t="shared" si="1"/>
        <v>6</v>
      </c>
      <c r="G152" s="9">
        <f t="shared" si="2"/>
        <v>12</v>
      </c>
      <c r="H152" s="11"/>
      <c r="I152" s="11">
        <f t="shared" si="3"/>
        <v>0</v>
      </c>
      <c r="J152" s="12">
        <v>9.0</v>
      </c>
      <c r="K152" s="11">
        <f t="shared" si="4"/>
        <v>234</v>
      </c>
      <c r="L152" s="12">
        <v>3.01</v>
      </c>
      <c r="M152" s="11">
        <f t="shared" si="5"/>
        <v>266</v>
      </c>
      <c r="N152" s="12">
        <v>25.5</v>
      </c>
      <c r="O152" s="11">
        <f t="shared" si="6"/>
        <v>204</v>
      </c>
      <c r="P152" s="11" t="str">
        <f t="shared" si="7"/>
        <v>Punkte M 5-6</v>
      </c>
      <c r="Q152" s="11" t="str">
        <f t="shared" si="8"/>
        <v>Noten-Matrix-Jungen</v>
      </c>
      <c r="R152" s="13">
        <f t="shared" si="9"/>
        <v>704</v>
      </c>
      <c r="S152" s="11" t="str">
        <f>IF(R152=0, "Keine Teilnahme", IFERROR(IF(R152&gt;=VLOOKUP(G152&amp;LOWER(E152), Formeln!$H$2:$K$30, 4, FALSE), "Ehrenurkunde", IF(R152&gt;=VLOOKUP(G152&amp;LOWER(E152), Formeln!$H$2:$K$30, 3, FALSE), "Siegerurkunde", "Teilnehmerurkunde")), "Keine Urkunde"))</f>
        <v>Teilnehmerurkunde</v>
      </c>
      <c r="T152" s="14">
        <f t="shared" si="10"/>
        <v>3.1</v>
      </c>
    </row>
    <row r="153" ht="19.5" hidden="1" customHeight="1">
      <c r="A153" s="15" t="str">
        <f>IF(ASV_Daten!A147="","",ASV_Daten!A147)</f>
        <v>R6C</v>
      </c>
      <c r="B153" s="15" t="str">
        <f>IF(ASV_Daten!B147="","",ASV_Daten!B147)</f>
        <v>Müller</v>
      </c>
      <c r="C153" s="15" t="str">
        <f>IF(ASV_Daten!C147="","",ASV_Daten!C147)</f>
        <v>Minela</v>
      </c>
      <c r="D153" s="15">
        <f>IF(ASV_Daten!D147="","",ASV_Daten!D147)</f>
        <v>2014</v>
      </c>
      <c r="E153" s="15" t="str">
        <f>IF(ASV_Daten!E147="","",ASV_Daten!E147)</f>
        <v>W</v>
      </c>
      <c r="F153" s="16" t="str">
        <f t="shared" si="1"/>
        <v>6</v>
      </c>
      <c r="G153" s="17">
        <f t="shared" si="2"/>
        <v>12</v>
      </c>
      <c r="H153" s="19"/>
      <c r="I153" s="19">
        <f t="shared" si="3"/>
        <v>0</v>
      </c>
      <c r="J153" s="20">
        <v>9.5</v>
      </c>
      <c r="K153" s="19">
        <f t="shared" si="4"/>
        <v>225</v>
      </c>
      <c r="L153" s="20">
        <v>3.49</v>
      </c>
      <c r="M153" s="19">
        <f t="shared" si="5"/>
        <v>372</v>
      </c>
      <c r="N153" s="20">
        <v>15.5</v>
      </c>
      <c r="O153" s="19">
        <f t="shared" si="6"/>
        <v>218</v>
      </c>
      <c r="P153" s="19" t="str">
        <f t="shared" si="7"/>
        <v>Punkte W 5-6</v>
      </c>
      <c r="Q153" s="19" t="str">
        <f t="shared" si="8"/>
        <v>Noten-Matrix-Mädchen</v>
      </c>
      <c r="R153" s="21">
        <f t="shared" si="9"/>
        <v>815</v>
      </c>
      <c r="S153" s="19" t="str">
        <f>IF(R153=0, "Keine Teilnahme", IFERROR(IF(R153&gt;=VLOOKUP(G153&amp;LOWER(E153), Formeln!$H$2:$K$30, 4, FALSE), "Ehrenurkunde", IF(R153&gt;=VLOOKUP(G153&amp;LOWER(E153), Formeln!$H$2:$K$30, 3, FALSE), "Siegerurkunde", "Teilnehmerurkunde")), "Keine Urkunde"))</f>
        <v>Siegerurkunde</v>
      </c>
      <c r="T153" s="22">
        <f t="shared" si="10"/>
        <v>2.5</v>
      </c>
    </row>
    <row r="154" ht="19.5" hidden="1" customHeight="1">
      <c r="A154" s="7" t="str">
        <f>IF(ASV_Daten!A134="","",ASV_Daten!A134)</f>
        <v>R6C</v>
      </c>
      <c r="B154" s="7" t="str">
        <f>IF(ASV_Daten!B134="","",ASV_Daten!B134)</f>
        <v>Bekdezell</v>
      </c>
      <c r="C154" s="7" t="str">
        <f>IF(ASV_Daten!C134="","",ASV_Daten!C134)</f>
        <v>Mubben</v>
      </c>
      <c r="D154" s="7">
        <f>IF(ASV_Daten!D134="","",ASV_Daten!D134)</f>
        <v>2014</v>
      </c>
      <c r="E154" s="7" t="str">
        <f>IF(ASV_Daten!E134="","",ASV_Daten!E134)</f>
        <v>M</v>
      </c>
      <c r="F154" s="8" t="str">
        <f t="shared" si="1"/>
        <v>6</v>
      </c>
      <c r="G154" s="9">
        <f t="shared" si="2"/>
        <v>12</v>
      </c>
      <c r="H154" s="10">
        <v>0.22777777777777777</v>
      </c>
      <c r="I154" s="11">
        <f t="shared" si="3"/>
        <v>148</v>
      </c>
      <c r="J154" s="12">
        <v>8.3</v>
      </c>
      <c r="K154" s="11">
        <f t="shared" si="4"/>
        <v>299</v>
      </c>
      <c r="L154" s="12">
        <v>2.89</v>
      </c>
      <c r="M154" s="11">
        <f t="shared" si="5"/>
        <v>251</v>
      </c>
      <c r="N154" s="12">
        <v>21.0</v>
      </c>
      <c r="O154" s="11">
        <f t="shared" si="6"/>
        <v>162</v>
      </c>
      <c r="P154" s="11" t="str">
        <f t="shared" si="7"/>
        <v>Punkte M 5-6</v>
      </c>
      <c r="Q154" s="11" t="str">
        <f t="shared" si="8"/>
        <v>Noten-Matrix-Jungen</v>
      </c>
      <c r="R154" s="13">
        <f t="shared" si="9"/>
        <v>712</v>
      </c>
      <c r="S154" s="11" t="str">
        <f>IF(R154=0, "Keine Teilnahme", IFERROR(IF(R154&gt;=VLOOKUP(G154&amp;LOWER(E154), Formeln!$H$2:$K$30, 4, FALSE), "Ehrenurkunde", IF(R154&gt;=VLOOKUP(G154&amp;LOWER(E154), Formeln!$H$2:$K$30, 3, FALSE), "Siegerurkunde", "Teilnehmerurkunde")), "Keine Urkunde"))</f>
        <v>Teilnehmerurkunde</v>
      </c>
      <c r="T154" s="14">
        <f t="shared" si="10"/>
        <v>3</v>
      </c>
    </row>
    <row r="155" ht="19.5" hidden="1" customHeight="1">
      <c r="A155" s="15" t="str">
        <f>IF(ASV_Daten!A142="","",ASV_Daten!A142)</f>
        <v>R6C</v>
      </c>
      <c r="B155" s="15" t="str">
        <f>IF(ASV_Daten!B142="","",ASV_Daten!B142)</f>
        <v>Höftmann</v>
      </c>
      <c r="C155" s="15" t="str">
        <f>IF(ASV_Daten!C142="","",ASV_Daten!C142)</f>
        <v>Nico</v>
      </c>
      <c r="D155" s="15">
        <f>IF(ASV_Daten!D142="","",ASV_Daten!D142)</f>
        <v>2013</v>
      </c>
      <c r="E155" s="15" t="str">
        <f>IF(ASV_Daten!E142="","",ASV_Daten!E142)</f>
        <v>M</v>
      </c>
      <c r="F155" s="16" t="str">
        <f t="shared" si="1"/>
        <v>6</v>
      </c>
      <c r="G155" s="17">
        <f t="shared" si="2"/>
        <v>13</v>
      </c>
      <c r="H155" s="19"/>
      <c r="I155" s="19">
        <f t="shared" si="3"/>
        <v>0</v>
      </c>
      <c r="J155" s="20">
        <v>8.3</v>
      </c>
      <c r="K155" s="19">
        <f t="shared" si="4"/>
        <v>299</v>
      </c>
      <c r="L155" s="20">
        <v>3.29</v>
      </c>
      <c r="M155" s="19">
        <f t="shared" si="5"/>
        <v>302</v>
      </c>
      <c r="N155" s="20">
        <v>44.0</v>
      </c>
      <c r="O155" s="19">
        <f t="shared" si="6"/>
        <v>348</v>
      </c>
      <c r="P155" s="19" t="str">
        <f t="shared" si="7"/>
        <v>Punkte M 5-6</v>
      </c>
      <c r="Q155" s="19" t="str">
        <f t="shared" si="8"/>
        <v>Noten-Matrix-Jungen</v>
      </c>
      <c r="R155" s="21">
        <f t="shared" si="9"/>
        <v>949</v>
      </c>
      <c r="S155" s="19" t="str">
        <f>IF(R155=0, "Keine Teilnahme", IFERROR(IF(R155&gt;=VLOOKUP(G155&amp;LOWER(E155), Formeln!$H$2:$K$30, 4, FALSE), "Ehrenurkunde", IF(R155&gt;=VLOOKUP(G155&amp;LOWER(E155), Formeln!$H$2:$K$30, 3, FALSE), "Siegerurkunde", "Teilnehmerurkunde")), "Keine Urkunde"))</f>
        <v>Siegerurkunde</v>
      </c>
      <c r="T155" s="22">
        <f t="shared" si="10"/>
        <v>2.1</v>
      </c>
    </row>
    <row r="156" ht="19.5" hidden="1" customHeight="1">
      <c r="A156" s="7" t="str">
        <f>IF(ASV_Daten!A153="","",ASV_Daten!A153)</f>
        <v>R6C</v>
      </c>
      <c r="B156" s="7" t="str">
        <f>IF(ASV_Daten!B153="","",ASV_Daten!B153)</f>
        <v>Pidhorna</v>
      </c>
      <c r="C156" s="7" t="str">
        <f>IF(ASV_Daten!C153="","",ASV_Daten!C153)</f>
        <v>Polina</v>
      </c>
      <c r="D156" s="7">
        <f>IF(ASV_Daten!D153="","",ASV_Daten!D153)</f>
        <v>2014</v>
      </c>
      <c r="E156" s="7" t="str">
        <f>IF(ASV_Daten!E153="","",ASV_Daten!E153)</f>
        <v>W</v>
      </c>
      <c r="F156" s="8" t="str">
        <f t="shared" si="1"/>
        <v>6</v>
      </c>
      <c r="G156" s="9">
        <f t="shared" si="2"/>
        <v>12</v>
      </c>
      <c r="H156" s="11"/>
      <c r="I156" s="11">
        <f t="shared" si="3"/>
        <v>0</v>
      </c>
      <c r="J156" s="12">
        <v>8.6</v>
      </c>
      <c r="K156" s="11">
        <f t="shared" si="4"/>
        <v>304</v>
      </c>
      <c r="L156" s="12">
        <v>3.41</v>
      </c>
      <c r="M156" s="11">
        <f t="shared" si="5"/>
        <v>362</v>
      </c>
      <c r="N156" s="12">
        <v>18.0</v>
      </c>
      <c r="O156" s="11">
        <f t="shared" si="6"/>
        <v>253</v>
      </c>
      <c r="P156" s="11" t="str">
        <f t="shared" si="7"/>
        <v>Punkte W 5-6</v>
      </c>
      <c r="Q156" s="11" t="str">
        <f t="shared" si="8"/>
        <v>Noten-Matrix-Mädchen</v>
      </c>
      <c r="R156" s="13">
        <f t="shared" si="9"/>
        <v>919</v>
      </c>
      <c r="S156" s="11" t="str">
        <f>IF(R156=0, "Keine Teilnahme", IFERROR(IF(R156&gt;=VLOOKUP(G156&amp;LOWER(E156), Formeln!$H$2:$K$30, 4, FALSE), "Ehrenurkunde", IF(R156&gt;=VLOOKUP(G156&amp;LOWER(E156), Formeln!$H$2:$K$30, 3, FALSE), "Siegerurkunde", "Teilnehmerurkunde")), "Keine Urkunde"))</f>
        <v>Siegerurkunde</v>
      </c>
      <c r="T156" s="14">
        <f t="shared" si="10"/>
        <v>1.8</v>
      </c>
    </row>
    <row r="157" ht="19.5" hidden="1" customHeight="1">
      <c r="A157" s="15" t="str">
        <f>IF(ASV_Daten!A160="","",ASV_Daten!A160)</f>
        <v>R6C</v>
      </c>
      <c r="B157" s="15" t="str">
        <f>IF(ASV_Daten!B160="","",ASV_Daten!B160)</f>
        <v>Voitenko</v>
      </c>
      <c r="C157" s="15" t="str">
        <f>IF(ASV_Daten!C160="","",ASV_Daten!C160)</f>
        <v>Rynat</v>
      </c>
      <c r="D157" s="15">
        <f>IF(ASV_Daten!D160="","",ASV_Daten!D160)</f>
        <v>2013</v>
      </c>
      <c r="E157" s="15" t="str">
        <f>IF(ASV_Daten!E160="","",ASV_Daten!E160)</f>
        <v>M</v>
      </c>
      <c r="F157" s="16" t="str">
        <f t="shared" si="1"/>
        <v>6</v>
      </c>
      <c r="G157" s="17">
        <f t="shared" si="2"/>
        <v>13</v>
      </c>
      <c r="H157" s="19"/>
      <c r="I157" s="19">
        <f t="shared" si="3"/>
        <v>0</v>
      </c>
      <c r="J157" s="20">
        <v>8.7</v>
      </c>
      <c r="K157" s="19">
        <f t="shared" si="4"/>
        <v>261</v>
      </c>
      <c r="L157" s="20">
        <v>3.09</v>
      </c>
      <c r="M157" s="19">
        <f t="shared" si="5"/>
        <v>277</v>
      </c>
      <c r="N157" s="20">
        <v>43.0</v>
      </c>
      <c r="O157" s="19">
        <f t="shared" si="6"/>
        <v>341</v>
      </c>
      <c r="P157" s="19" t="str">
        <f t="shared" si="7"/>
        <v>Punkte M 5-6</v>
      </c>
      <c r="Q157" s="19" t="str">
        <f t="shared" si="8"/>
        <v>Noten-Matrix-Jungen</v>
      </c>
      <c r="R157" s="21">
        <f t="shared" si="9"/>
        <v>879</v>
      </c>
      <c r="S157" s="19" t="str">
        <f>IF(R157=0, "Keine Teilnahme", IFERROR(IF(R157&gt;=VLOOKUP(G157&amp;LOWER(E157), Formeln!$H$2:$K$30, 4, FALSE), "Ehrenurkunde", IF(R157&gt;=VLOOKUP(G157&amp;LOWER(E157), Formeln!$H$2:$K$30, 3, FALSE), "Siegerurkunde", "Teilnehmerurkunde")), "Keine Urkunde"))</f>
        <v>Siegerurkunde</v>
      </c>
      <c r="T157" s="22">
        <f t="shared" si="10"/>
        <v>2.4</v>
      </c>
    </row>
    <row r="158" ht="19.5" hidden="1" customHeight="1">
      <c r="A158" s="7" t="str">
        <f>IF(ASV_Daten!A151="","",ASV_Daten!A151)</f>
        <v>R6C</v>
      </c>
      <c r="B158" s="7" t="str">
        <f>IF(ASV_Daten!B151="","",ASV_Daten!B151)</f>
        <v>Peters</v>
      </c>
      <c r="C158" s="7" t="str">
        <f>IF(ASV_Daten!C151="","",ASV_Daten!C151)</f>
        <v>Shauna</v>
      </c>
      <c r="D158" s="7">
        <f>IF(ASV_Daten!D151="","",ASV_Daten!D151)</f>
        <v>2014</v>
      </c>
      <c r="E158" s="7" t="str">
        <f>IF(ASV_Daten!E151="","",ASV_Daten!E151)</f>
        <v>W</v>
      </c>
      <c r="F158" s="8" t="str">
        <f t="shared" si="1"/>
        <v>6</v>
      </c>
      <c r="G158" s="9">
        <f t="shared" si="2"/>
        <v>12</v>
      </c>
      <c r="H158" s="27"/>
      <c r="I158" s="11">
        <f t="shared" si="3"/>
        <v>0</v>
      </c>
      <c r="J158" s="12">
        <v>10.2</v>
      </c>
      <c r="K158" s="11">
        <f t="shared" si="4"/>
        <v>172</v>
      </c>
      <c r="L158" s="12">
        <v>2.81</v>
      </c>
      <c r="M158" s="11">
        <f t="shared" si="5"/>
        <v>280</v>
      </c>
      <c r="N158" s="12">
        <v>15.5</v>
      </c>
      <c r="O158" s="11">
        <f t="shared" si="6"/>
        <v>218</v>
      </c>
      <c r="P158" s="11" t="str">
        <f t="shared" si="7"/>
        <v>Punkte W 5-6</v>
      </c>
      <c r="Q158" s="11" t="str">
        <f t="shared" si="8"/>
        <v>Noten-Matrix-Mädchen</v>
      </c>
      <c r="R158" s="13">
        <f t="shared" si="9"/>
        <v>670</v>
      </c>
      <c r="S158" s="11" t="str">
        <f>IF(R158=0, "Keine Teilnahme", IFERROR(IF(R158&gt;=VLOOKUP(G158&amp;LOWER(E158), Formeln!$H$2:$K$30, 4, FALSE), "Ehrenurkunde", IF(R158&gt;=VLOOKUP(G158&amp;LOWER(E158), Formeln!$H$2:$K$30, 3, FALSE), "Siegerurkunde", "Teilnehmerurkunde")), "Keine Urkunde"))</f>
        <v>Teilnehmerurkunde</v>
      </c>
      <c r="T158" s="14">
        <f t="shared" si="10"/>
        <v>3.4</v>
      </c>
    </row>
    <row r="159" ht="19.5" hidden="1" customHeight="1">
      <c r="A159" s="15" t="str">
        <f>IF(ASV_Daten!A148="","",ASV_Daten!A148)</f>
        <v>R6C</v>
      </c>
      <c r="B159" s="15" t="str">
        <f>IF(ASV_Daten!B148="","",ASV_Daten!B148)</f>
        <v>Nitz</v>
      </c>
      <c r="C159" s="15" t="str">
        <f>IF(ASV_Daten!C148="","",ASV_Daten!C148)</f>
        <v>Tizia</v>
      </c>
      <c r="D159" s="15">
        <f>IF(ASV_Daten!D148="","",ASV_Daten!D148)</f>
        <v>2014</v>
      </c>
      <c r="E159" s="15" t="str">
        <f>IF(ASV_Daten!E148="","",ASV_Daten!E148)</f>
        <v>W</v>
      </c>
      <c r="F159" s="16" t="str">
        <f t="shared" si="1"/>
        <v>6</v>
      </c>
      <c r="G159" s="17">
        <f t="shared" si="2"/>
        <v>12</v>
      </c>
      <c r="H159" s="19"/>
      <c r="I159" s="19">
        <f t="shared" si="3"/>
        <v>0</v>
      </c>
      <c r="J159" s="19"/>
      <c r="K159" s="19">
        <f t="shared" si="4"/>
        <v>0</v>
      </c>
      <c r="L159" s="19"/>
      <c r="M159" s="19">
        <f t="shared" si="5"/>
        <v>0</v>
      </c>
      <c r="N159" s="19"/>
      <c r="O159" s="19">
        <f t="shared" si="6"/>
        <v>0</v>
      </c>
      <c r="P159" s="19" t="str">
        <f t="shared" si="7"/>
        <v>Punkte W 5-6</v>
      </c>
      <c r="Q159" s="19" t="str">
        <f t="shared" si="8"/>
        <v>Noten-Matrix-Mädchen</v>
      </c>
      <c r="R159" s="21">
        <f t="shared" si="9"/>
        <v>0</v>
      </c>
      <c r="S159" s="19" t="str">
        <f>IF(R159=0, "Keine Teilnahme", IFERROR(IF(R159&gt;=VLOOKUP(G159&amp;LOWER(E159), Formeln!$H$2:$K$30, 4, FALSE), "Ehrenurkunde", IF(R159&gt;=VLOOKUP(G159&amp;LOWER(E159), Formeln!$H$2:$K$30, 3, FALSE), "Siegerurkunde", "Teilnehmerurkunde")), "Keine Urkunde"))</f>
        <v>Keine Teilnahme</v>
      </c>
      <c r="T159" s="22" t="str">
        <f t="shared" si="10"/>
        <v>Keine Teilnahme</v>
      </c>
    </row>
    <row r="160" ht="19.5" hidden="1" customHeight="1">
      <c r="A160" s="7" t="str">
        <f>IF(ASV_Daten!A138="","",ASV_Daten!A138)</f>
        <v>R6C</v>
      </c>
      <c r="B160" s="7" t="str">
        <f>IF(ASV_Daten!B138="","",ASV_Daten!B138)</f>
        <v>Fedotova</v>
      </c>
      <c r="C160" s="7" t="str">
        <f>IF(ASV_Daten!C138="","",ASV_Daten!C138)</f>
        <v>Viktoria</v>
      </c>
      <c r="D160" s="7">
        <f>IF(ASV_Daten!D138="","",ASV_Daten!D138)</f>
        <v>2014</v>
      </c>
      <c r="E160" s="7" t="str">
        <f>IF(ASV_Daten!E138="","",ASV_Daten!E138)</f>
        <v>W</v>
      </c>
      <c r="F160" s="8" t="str">
        <f t="shared" si="1"/>
        <v>6</v>
      </c>
      <c r="G160" s="9">
        <f t="shared" si="2"/>
        <v>12</v>
      </c>
      <c r="H160" s="11"/>
      <c r="I160" s="11">
        <f t="shared" si="3"/>
        <v>0</v>
      </c>
      <c r="J160" s="12">
        <v>9.3</v>
      </c>
      <c r="K160" s="11">
        <f t="shared" si="4"/>
        <v>241</v>
      </c>
      <c r="L160" s="12">
        <v>2.61</v>
      </c>
      <c r="M160" s="11">
        <f t="shared" si="5"/>
        <v>250</v>
      </c>
      <c r="N160" s="12">
        <v>14.5</v>
      </c>
      <c r="O160" s="11">
        <f t="shared" si="6"/>
        <v>204</v>
      </c>
      <c r="P160" s="11" t="str">
        <f t="shared" si="7"/>
        <v>Punkte W 5-6</v>
      </c>
      <c r="Q160" s="11" t="str">
        <f t="shared" si="8"/>
        <v>Noten-Matrix-Mädchen</v>
      </c>
      <c r="R160" s="13">
        <f t="shared" si="9"/>
        <v>695</v>
      </c>
      <c r="S160" s="11" t="str">
        <f>IF(R160=0, "Keine Teilnahme", IFERROR(IF(R160&gt;=VLOOKUP(G160&amp;LOWER(E160), Formeln!$H$2:$K$30, 4, FALSE), "Ehrenurkunde", IF(R160&gt;=VLOOKUP(G160&amp;LOWER(E160), Formeln!$H$2:$K$30, 3, FALSE), "Siegerurkunde", "Teilnehmerurkunde")), "Keine Urkunde"))</f>
        <v>Teilnehmerurkunde</v>
      </c>
      <c r="T160" s="14">
        <f t="shared" si="10"/>
        <v>3.3</v>
      </c>
    </row>
    <row r="161" ht="19.5" hidden="1" customHeight="1">
      <c r="A161" s="15" t="str">
        <f>IF(ASV_Daten!A150="","",ASV_Daten!A150)</f>
        <v>R6C</v>
      </c>
      <c r="B161" s="15" t="str">
        <f>IF(ASV_Daten!B150="","",ASV_Daten!B150)</f>
        <v>Peksen</v>
      </c>
      <c r="C161" s="15" t="str">
        <f>IF(ASV_Daten!C150="","",ASV_Daten!C150)</f>
        <v>Yagmur</v>
      </c>
      <c r="D161" s="15">
        <f>IF(ASV_Daten!D150="","",ASV_Daten!D150)</f>
        <v>2013</v>
      </c>
      <c r="E161" s="15" t="str">
        <f>IF(ASV_Daten!E150="","",ASV_Daten!E150)</f>
        <v>W</v>
      </c>
      <c r="F161" s="16" t="str">
        <f t="shared" si="1"/>
        <v>6</v>
      </c>
      <c r="G161" s="17">
        <f t="shared" si="2"/>
        <v>13</v>
      </c>
      <c r="H161" s="19"/>
      <c r="I161" s="19">
        <f t="shared" si="3"/>
        <v>0</v>
      </c>
      <c r="J161" s="20">
        <v>8.5</v>
      </c>
      <c r="K161" s="19">
        <f t="shared" si="4"/>
        <v>314</v>
      </c>
      <c r="L161" s="20">
        <v>2.89</v>
      </c>
      <c r="M161" s="19">
        <f t="shared" si="5"/>
        <v>291</v>
      </c>
      <c r="N161" s="20">
        <v>21.0</v>
      </c>
      <c r="O161" s="19">
        <f t="shared" si="6"/>
        <v>292</v>
      </c>
      <c r="P161" s="19" t="str">
        <f t="shared" si="7"/>
        <v>Punkte W 5-6</v>
      </c>
      <c r="Q161" s="19" t="str">
        <f t="shared" si="8"/>
        <v>Noten-Matrix-Mädchen</v>
      </c>
      <c r="R161" s="21">
        <f t="shared" si="9"/>
        <v>897</v>
      </c>
      <c r="S161" s="19" t="str">
        <f>IF(R161=0, "Keine Teilnahme", IFERROR(IF(R161&gt;=VLOOKUP(G161&amp;LOWER(E161), Formeln!$H$2:$K$30, 4, FALSE), "Ehrenurkunde", IF(R161&gt;=VLOOKUP(G161&amp;LOWER(E161), Formeln!$H$2:$K$30, 3, FALSE), "Siegerurkunde", "Teilnehmerurkunde")), "Keine Urkunde"))</f>
        <v>Siegerurkunde</v>
      </c>
      <c r="T161" s="22">
        <f t="shared" si="10"/>
        <v>2.3</v>
      </c>
    </row>
    <row r="162" ht="19.5" hidden="1" customHeight="1">
      <c r="A162" s="7" t="str">
        <f>IF(ASV_Daten!A133="","",ASV_Daten!A133)</f>
        <v>R6C</v>
      </c>
      <c r="B162" s="7" t="str">
        <f>IF(ASV_Daten!B133="","",ASV_Daten!B133)</f>
        <v>Al Fahd</v>
      </c>
      <c r="C162" s="7" t="str">
        <f>IF(ASV_Daten!C133="","",ASV_Daten!C133)</f>
        <v>Yasin</v>
      </c>
      <c r="D162" s="7">
        <f>IF(ASV_Daten!D133="","",ASV_Daten!D133)</f>
        <v>2014</v>
      </c>
      <c r="E162" s="7" t="str">
        <f>IF(ASV_Daten!E133="","",ASV_Daten!E133)</f>
        <v>M</v>
      </c>
      <c r="F162" s="8" t="str">
        <f t="shared" si="1"/>
        <v>6</v>
      </c>
      <c r="G162" s="9">
        <f t="shared" si="2"/>
        <v>12</v>
      </c>
      <c r="H162" s="11"/>
      <c r="I162" s="11">
        <f t="shared" si="3"/>
        <v>0</v>
      </c>
      <c r="J162" s="12">
        <v>10.4</v>
      </c>
      <c r="K162" s="11">
        <f t="shared" si="4"/>
        <v>131</v>
      </c>
      <c r="L162" s="12">
        <v>1.69</v>
      </c>
      <c r="M162" s="11">
        <f t="shared" si="5"/>
        <v>68</v>
      </c>
      <c r="N162" s="12">
        <v>23.0</v>
      </c>
      <c r="O162" s="11">
        <f t="shared" si="6"/>
        <v>181</v>
      </c>
      <c r="P162" s="11" t="str">
        <f t="shared" si="7"/>
        <v>Punkte M 5-6</v>
      </c>
      <c r="Q162" s="11" t="str">
        <f t="shared" si="8"/>
        <v>Noten-Matrix-Jungen</v>
      </c>
      <c r="R162" s="13">
        <f t="shared" si="9"/>
        <v>380</v>
      </c>
      <c r="S162" s="11" t="str">
        <f>IF(R162=0, "Keine Teilnahme", IFERROR(IF(R162&gt;=VLOOKUP(G162&amp;LOWER(E162), Formeln!$H$2:$K$30, 4, FALSE), "Ehrenurkunde", IF(R162&gt;=VLOOKUP(G162&amp;LOWER(E162), Formeln!$H$2:$K$30, 3, FALSE), "Siegerurkunde", "Teilnehmerurkunde")), "Keine Urkunde"))</f>
        <v>Teilnehmerurkunde</v>
      </c>
      <c r="T162" s="14" t="str">
        <f t="shared" si="10"/>
        <v>NOTE</v>
      </c>
    </row>
    <row r="163" ht="19.5" hidden="1" customHeight="1">
      <c r="A163" s="15" t="str">
        <f>IF(ASV_Daten!A156="","",ASV_Daten!A156)</f>
        <v>R6C</v>
      </c>
      <c r="B163" s="15" t="str">
        <f>IF(ASV_Daten!B156="","",ASV_Daten!B156)</f>
        <v>Sabir</v>
      </c>
      <c r="C163" s="15" t="str">
        <f>IF(ASV_Daten!C156="","",ASV_Daten!C156)</f>
        <v>Yasmine</v>
      </c>
      <c r="D163" s="15">
        <f>IF(ASV_Daten!D156="","",ASV_Daten!D156)</f>
        <v>2014</v>
      </c>
      <c r="E163" s="15" t="str">
        <f>IF(ASV_Daten!E156="","",ASV_Daten!E156)</f>
        <v>W</v>
      </c>
      <c r="F163" s="16" t="str">
        <f t="shared" si="1"/>
        <v>6</v>
      </c>
      <c r="G163" s="17">
        <f t="shared" si="2"/>
        <v>12</v>
      </c>
      <c r="H163" s="19"/>
      <c r="I163" s="19">
        <f t="shared" si="3"/>
        <v>0</v>
      </c>
      <c r="J163" s="20">
        <v>9.2</v>
      </c>
      <c r="K163" s="19">
        <f t="shared" si="4"/>
        <v>249</v>
      </c>
      <c r="L163" s="20">
        <v>2.81</v>
      </c>
      <c r="M163" s="19">
        <f t="shared" si="5"/>
        <v>280</v>
      </c>
      <c r="N163" s="20">
        <v>21.0</v>
      </c>
      <c r="O163" s="19">
        <f t="shared" si="6"/>
        <v>292</v>
      </c>
      <c r="P163" s="19" t="str">
        <f t="shared" si="7"/>
        <v>Punkte W 5-6</v>
      </c>
      <c r="Q163" s="19" t="str">
        <f t="shared" si="8"/>
        <v>Noten-Matrix-Mädchen</v>
      </c>
      <c r="R163" s="21">
        <f t="shared" si="9"/>
        <v>821</v>
      </c>
      <c r="S163" s="19" t="str">
        <f>IF(R163=0, "Keine Teilnahme", IFERROR(IF(R163&gt;=VLOOKUP(G163&amp;LOWER(E163), Formeln!$H$2:$K$30, 4, FALSE), "Ehrenurkunde", IF(R163&gt;=VLOOKUP(G163&amp;LOWER(E163), Formeln!$H$2:$K$30, 3, FALSE), "Siegerurkunde", "Teilnehmerurkunde")), "Keine Urkunde"))</f>
        <v>Siegerurkunde</v>
      </c>
      <c r="T163" s="22">
        <f t="shared" si="10"/>
        <v>2.4</v>
      </c>
    </row>
    <row r="164" ht="19.5" hidden="1" customHeight="1">
      <c r="A164" s="7" t="str">
        <f>IF(ASV_Daten!A178="","",ASV_Daten!A178)</f>
        <v>R7A</v>
      </c>
      <c r="B164" s="7" t="str">
        <f>IF(ASV_Daten!B178="","",ASV_Daten!B178)</f>
        <v>Pröll</v>
      </c>
      <c r="C164" s="7" t="str">
        <f>IF(ASV_Daten!C178="","",ASV_Daten!C178)</f>
        <v>Alina</v>
      </c>
      <c r="D164" s="7">
        <f>IF(ASV_Daten!D178="","",ASV_Daten!D178)</f>
        <v>2013</v>
      </c>
      <c r="E164" s="7" t="str">
        <f>IF(ASV_Daten!E178="","",ASV_Daten!E178)</f>
        <v>W</v>
      </c>
      <c r="F164" s="8" t="str">
        <f t="shared" si="1"/>
        <v>7</v>
      </c>
      <c r="G164" s="9">
        <f t="shared" si="2"/>
        <v>13</v>
      </c>
      <c r="H164" s="11"/>
      <c r="I164" s="11">
        <f t="shared" si="3"/>
        <v>0</v>
      </c>
      <c r="J164" s="11"/>
      <c r="K164" s="11">
        <f t="shared" si="4"/>
        <v>0</v>
      </c>
      <c r="L164" s="12">
        <v>2.93</v>
      </c>
      <c r="M164" s="11">
        <f t="shared" si="5"/>
        <v>297</v>
      </c>
      <c r="N164" s="12">
        <v>17.0</v>
      </c>
      <c r="O164" s="11">
        <f t="shared" si="6"/>
        <v>260</v>
      </c>
      <c r="P164" s="11" t="str">
        <f t="shared" si="7"/>
        <v>Punkte W 7-9</v>
      </c>
      <c r="Q164" s="11" t="str">
        <f t="shared" si="8"/>
        <v>Noten-Matrix-Mädchen</v>
      </c>
      <c r="R164" s="13">
        <f t="shared" si="9"/>
        <v>557</v>
      </c>
      <c r="S164" s="11" t="str">
        <f>IF(R164=0, "Keine Teilnahme", IFERROR(IF(R164&gt;=VLOOKUP(G164&amp;LOWER(E164), Formeln!$H$2:$K$30, 4, FALSE), "Ehrenurkunde", IF(R164&gt;=VLOOKUP(G164&amp;LOWER(E164), Formeln!$H$2:$K$30, 3, FALSE), "Siegerurkunde", "Teilnehmerurkunde")), "Keine Urkunde"))</f>
        <v>Teilnehmerurkunde</v>
      </c>
      <c r="T164" s="14" t="str">
        <f t="shared" si="10"/>
        <v>NOTE</v>
      </c>
    </row>
    <row r="165" ht="19.5" hidden="1" customHeight="1">
      <c r="A165" s="15" t="str">
        <f>IF(ASV_Daten!A183="","",ASV_Daten!A183)</f>
        <v>R7A</v>
      </c>
      <c r="B165" s="15" t="str">
        <f>IF(ASV_Daten!B183="","",ASV_Daten!B183)</f>
        <v>Trenkle</v>
      </c>
      <c r="C165" s="15" t="str">
        <f>IF(ASV_Daten!C183="","",ASV_Daten!C183)</f>
        <v>Ben</v>
      </c>
      <c r="D165" s="15">
        <f>IF(ASV_Daten!D183="","",ASV_Daten!D183)</f>
        <v>2012</v>
      </c>
      <c r="E165" s="15" t="str">
        <f>IF(ASV_Daten!E183="","",ASV_Daten!E183)</f>
        <v>M</v>
      </c>
      <c r="F165" s="16" t="str">
        <f t="shared" si="1"/>
        <v>7</v>
      </c>
      <c r="G165" s="17">
        <f t="shared" si="2"/>
        <v>14</v>
      </c>
      <c r="H165" s="19"/>
      <c r="I165" s="19">
        <f t="shared" si="3"/>
        <v>0</v>
      </c>
      <c r="J165" s="20">
        <v>12.9</v>
      </c>
      <c r="K165" s="19">
        <f t="shared" si="4"/>
        <v>242</v>
      </c>
      <c r="L165" s="20">
        <v>3.17</v>
      </c>
      <c r="M165" s="19">
        <f t="shared" si="5"/>
        <v>287</v>
      </c>
      <c r="N165" s="20">
        <v>27.0</v>
      </c>
      <c r="O165" s="19">
        <f t="shared" si="6"/>
        <v>262</v>
      </c>
      <c r="P165" s="19" t="str">
        <f t="shared" si="7"/>
        <v>Punkte M 7-9</v>
      </c>
      <c r="Q165" s="19" t="str">
        <f t="shared" si="8"/>
        <v>Noten-Matrix-Jungen</v>
      </c>
      <c r="R165" s="21">
        <f t="shared" si="9"/>
        <v>791</v>
      </c>
      <c r="S165" s="19" t="str">
        <f>IF(R165=0, "Keine Teilnahme", IFERROR(IF(R165&gt;=VLOOKUP(G165&amp;LOWER(E165), Formeln!$H$2:$K$30, 4, FALSE), "Ehrenurkunde", IF(R165&gt;=VLOOKUP(G165&amp;LOWER(E165), Formeln!$H$2:$K$30, 3, FALSE), "Siegerurkunde", "Teilnehmerurkunde")), "Keine Urkunde"))</f>
        <v>Teilnehmerurkunde</v>
      </c>
      <c r="T165" s="22">
        <f t="shared" si="10"/>
        <v>3.5</v>
      </c>
    </row>
    <row r="166" ht="19.5" hidden="1" customHeight="1">
      <c r="A166" s="7" t="str">
        <f>IF(ASV_Daten!A173="","",ASV_Daten!A173)</f>
        <v>R7A</v>
      </c>
      <c r="B166" s="7" t="str">
        <f>IF(ASV_Daten!B173="","",ASV_Daten!B173)</f>
        <v>Muji</v>
      </c>
      <c r="C166" s="7" t="str">
        <f>IF(ASV_Daten!C173="","",ASV_Daten!C173)</f>
        <v>Besa</v>
      </c>
      <c r="D166" s="7">
        <f>IF(ASV_Daten!D173="","",ASV_Daten!D173)</f>
        <v>2012</v>
      </c>
      <c r="E166" s="7" t="str">
        <f>IF(ASV_Daten!E173="","",ASV_Daten!E173)</f>
        <v>W</v>
      </c>
      <c r="F166" s="8" t="str">
        <f t="shared" si="1"/>
        <v>7</v>
      </c>
      <c r="G166" s="9">
        <f t="shared" si="2"/>
        <v>14</v>
      </c>
      <c r="H166" s="11"/>
      <c r="I166" s="11">
        <f t="shared" si="3"/>
        <v>0</v>
      </c>
      <c r="J166" s="11"/>
      <c r="K166" s="11">
        <f t="shared" si="4"/>
        <v>0</v>
      </c>
      <c r="L166" s="11"/>
      <c r="M166" s="11">
        <f t="shared" si="5"/>
        <v>0</v>
      </c>
      <c r="N166" s="11"/>
      <c r="O166" s="11">
        <f t="shared" si="6"/>
        <v>0</v>
      </c>
      <c r="P166" s="11" t="str">
        <f t="shared" si="7"/>
        <v>Punkte W 7-9</v>
      </c>
      <c r="Q166" s="11" t="str">
        <f t="shared" si="8"/>
        <v>Noten-Matrix-Mädchen</v>
      </c>
      <c r="R166" s="13">
        <f t="shared" si="9"/>
        <v>0</v>
      </c>
      <c r="S166" s="11" t="str">
        <f>IF(R166=0, "Keine Teilnahme", IFERROR(IF(R166&gt;=VLOOKUP(G166&amp;LOWER(E166), Formeln!$H$2:$K$30, 4, FALSE), "Ehrenurkunde", IF(R166&gt;=VLOOKUP(G166&amp;LOWER(E166), Formeln!$H$2:$K$30, 3, FALSE), "Siegerurkunde", "Teilnehmerurkunde")), "Keine Urkunde"))</f>
        <v>Keine Teilnahme</v>
      </c>
      <c r="T166" s="14" t="str">
        <f t="shared" si="10"/>
        <v>Keine Teilnahme</v>
      </c>
    </row>
    <row r="167" ht="19.5" hidden="1" customHeight="1">
      <c r="A167" s="15" t="str">
        <f>IF(ASV_Daten!A164="","",ASV_Daten!A164)</f>
        <v>R7A</v>
      </c>
      <c r="B167" s="15" t="str">
        <f>IF(ASV_Daten!B164="","",ASV_Daten!B164)</f>
        <v>Fehrenbach</v>
      </c>
      <c r="C167" s="15" t="str">
        <f>IF(ASV_Daten!C164="","",ASV_Daten!C164)</f>
        <v>Daniel</v>
      </c>
      <c r="D167" s="15">
        <f>IF(ASV_Daten!D164="","",ASV_Daten!D164)</f>
        <v>2013</v>
      </c>
      <c r="E167" s="15" t="str">
        <f>IF(ASV_Daten!E164="","",ASV_Daten!E164)</f>
        <v>M</v>
      </c>
      <c r="F167" s="16" t="str">
        <f t="shared" si="1"/>
        <v>7</v>
      </c>
      <c r="G167" s="17">
        <f t="shared" si="2"/>
        <v>13</v>
      </c>
      <c r="H167" s="19"/>
      <c r="I167" s="19">
        <f t="shared" si="3"/>
        <v>0</v>
      </c>
      <c r="J167" s="20">
        <v>12.9</v>
      </c>
      <c r="K167" s="19">
        <f t="shared" si="4"/>
        <v>242</v>
      </c>
      <c r="L167" s="20">
        <v>3.17</v>
      </c>
      <c r="M167" s="19">
        <f t="shared" si="5"/>
        <v>287</v>
      </c>
      <c r="N167" s="20">
        <v>23.5</v>
      </c>
      <c r="O167" s="19">
        <f t="shared" si="6"/>
        <v>234</v>
      </c>
      <c r="P167" s="19" t="str">
        <f t="shared" si="7"/>
        <v>Punkte M 7-9</v>
      </c>
      <c r="Q167" s="19" t="str">
        <f t="shared" si="8"/>
        <v>Noten-Matrix-Jungen</v>
      </c>
      <c r="R167" s="21">
        <f t="shared" si="9"/>
        <v>763</v>
      </c>
      <c r="S167" s="19" t="str">
        <f>IF(R167=0, "Keine Teilnahme", IFERROR(IF(R167&gt;=VLOOKUP(G167&amp;LOWER(E167), Formeln!$H$2:$K$30, 4, FALSE), "Ehrenurkunde", IF(R167&gt;=VLOOKUP(G167&amp;LOWER(E167), Formeln!$H$2:$K$30, 3, FALSE), "Siegerurkunde", "Teilnehmerurkunde")), "Keine Urkunde"))</f>
        <v>Teilnehmerurkunde</v>
      </c>
      <c r="T167" s="22">
        <f t="shared" si="10"/>
        <v>3.2</v>
      </c>
    </row>
    <row r="168" ht="19.5" hidden="1" customHeight="1">
      <c r="A168" s="7" t="str">
        <f>IF(ASV_Daten!A180="","",ASV_Daten!A180)</f>
        <v>R7A</v>
      </c>
      <c r="B168" s="7" t="str">
        <f>IF(ASV_Daten!B180="","",ASV_Daten!B180)</f>
        <v>Schätzle</v>
      </c>
      <c r="C168" s="7" t="str">
        <f>IF(ASV_Daten!C180="","",ASV_Daten!C180)</f>
        <v>Eliah</v>
      </c>
      <c r="D168" s="7">
        <f>IF(ASV_Daten!D180="","",ASV_Daten!D180)</f>
        <v>2013</v>
      </c>
      <c r="E168" s="7" t="str">
        <f>IF(ASV_Daten!E180="","",ASV_Daten!E180)</f>
        <v>M</v>
      </c>
      <c r="F168" s="8" t="str">
        <f t="shared" si="1"/>
        <v>7</v>
      </c>
      <c r="G168" s="9">
        <f t="shared" si="2"/>
        <v>13</v>
      </c>
      <c r="H168" s="11"/>
      <c r="I168" s="11">
        <f t="shared" si="3"/>
        <v>0</v>
      </c>
      <c r="J168" s="12">
        <v>15.5</v>
      </c>
      <c r="K168" s="11">
        <f t="shared" si="4"/>
        <v>100</v>
      </c>
      <c r="L168" s="12">
        <v>2.17</v>
      </c>
      <c r="M168" s="11">
        <f t="shared" si="5"/>
        <v>147</v>
      </c>
      <c r="N168" s="12">
        <v>10.0</v>
      </c>
      <c r="O168" s="11">
        <f t="shared" si="6"/>
        <v>98</v>
      </c>
      <c r="P168" s="11" t="str">
        <f t="shared" si="7"/>
        <v>Punkte M 7-9</v>
      </c>
      <c r="Q168" s="11" t="str">
        <f t="shared" si="8"/>
        <v>Noten-Matrix-Jungen</v>
      </c>
      <c r="R168" s="13">
        <f t="shared" si="9"/>
        <v>345</v>
      </c>
      <c r="S168" s="11" t="str">
        <f>IF(R168=0, "Keine Teilnahme", IFERROR(IF(R168&gt;=VLOOKUP(G168&amp;LOWER(E168), Formeln!$H$2:$K$30, 4, FALSE), "Ehrenurkunde", IF(R168&gt;=VLOOKUP(G168&amp;LOWER(E168), Formeln!$H$2:$K$30, 3, FALSE), "Siegerurkunde", "Teilnehmerurkunde")), "Keine Urkunde"))</f>
        <v>Teilnehmerurkunde</v>
      </c>
      <c r="T168" s="14" t="str">
        <f t="shared" si="10"/>
        <v>NOTE</v>
      </c>
    </row>
    <row r="169" ht="19.5" hidden="1" customHeight="1">
      <c r="A169" s="15" t="str">
        <f>IF(ASV_Daten!A172="","",ASV_Daten!A172)</f>
        <v>R7A</v>
      </c>
      <c r="B169" s="15" t="str">
        <f>IF(ASV_Daten!B172="","",ASV_Daten!B172)</f>
        <v>Moor</v>
      </c>
      <c r="C169" s="15" t="str">
        <f>IF(ASV_Daten!C172="","",ASV_Daten!C172)</f>
        <v>Kristina</v>
      </c>
      <c r="D169" s="15">
        <f>IF(ASV_Daten!D172="","",ASV_Daten!D172)</f>
        <v>2013</v>
      </c>
      <c r="E169" s="15" t="str">
        <f>IF(ASV_Daten!E172="","",ASV_Daten!E172)</f>
        <v>W</v>
      </c>
      <c r="F169" s="16" t="str">
        <f t="shared" si="1"/>
        <v>7</v>
      </c>
      <c r="G169" s="17">
        <f t="shared" si="2"/>
        <v>13</v>
      </c>
      <c r="H169" s="19"/>
      <c r="I169" s="19">
        <f t="shared" si="3"/>
        <v>0</v>
      </c>
      <c r="J169" s="20">
        <v>13.0</v>
      </c>
      <c r="K169" s="19">
        <f t="shared" si="4"/>
        <v>252</v>
      </c>
      <c r="L169" s="20">
        <v>3.01</v>
      </c>
      <c r="M169" s="19">
        <f t="shared" si="5"/>
        <v>308</v>
      </c>
      <c r="N169" s="20">
        <v>25.5</v>
      </c>
      <c r="O169" s="19">
        <f t="shared" si="6"/>
        <v>349</v>
      </c>
      <c r="P169" s="19" t="str">
        <f t="shared" si="7"/>
        <v>Punkte W 7-9</v>
      </c>
      <c r="Q169" s="19" t="str">
        <f t="shared" si="8"/>
        <v>Noten-Matrix-Mädchen</v>
      </c>
      <c r="R169" s="21">
        <f t="shared" si="9"/>
        <v>909</v>
      </c>
      <c r="S169" s="19" t="str">
        <f>IF(R169=0, "Keine Teilnahme", IFERROR(IF(R169&gt;=VLOOKUP(G169&amp;LOWER(E169), Formeln!$H$2:$K$30, 4, FALSE), "Ehrenurkunde", IF(R169&gt;=VLOOKUP(G169&amp;LOWER(E169), Formeln!$H$2:$K$30, 3, FALSE), "Siegerurkunde", "Teilnehmerurkunde")), "Keine Urkunde"))</f>
        <v>Siegerurkunde</v>
      </c>
      <c r="T169" s="22">
        <f t="shared" si="10"/>
        <v>2.2</v>
      </c>
    </row>
    <row r="170" ht="19.5" hidden="1" customHeight="1">
      <c r="A170" s="7" t="str">
        <f>IF(ASV_Daten!A184="","",ASV_Daten!A184)</f>
        <v>R7A</v>
      </c>
      <c r="B170" s="7" t="str">
        <f>IF(ASV_Daten!B184="","",ASV_Daten!B184)</f>
        <v>Zabolotnyi</v>
      </c>
      <c r="C170" s="7" t="str">
        <f>IF(ASV_Daten!C184="","",ASV_Daten!C184)</f>
        <v>Kyrylo</v>
      </c>
      <c r="D170" s="7">
        <f>IF(ASV_Daten!D184="","",ASV_Daten!D184)</f>
        <v>2011</v>
      </c>
      <c r="E170" s="7" t="str">
        <f>IF(ASV_Daten!E184="","",ASV_Daten!E184)</f>
        <v>M</v>
      </c>
      <c r="F170" s="8" t="str">
        <f t="shared" si="1"/>
        <v>7</v>
      </c>
      <c r="G170" s="9">
        <f t="shared" si="2"/>
        <v>15</v>
      </c>
      <c r="H170" s="11"/>
      <c r="I170" s="11">
        <f t="shared" si="3"/>
        <v>0</v>
      </c>
      <c r="J170" s="11"/>
      <c r="K170" s="11">
        <f t="shared" si="4"/>
        <v>0</v>
      </c>
      <c r="L170" s="11"/>
      <c r="M170" s="11">
        <f t="shared" si="5"/>
        <v>0</v>
      </c>
      <c r="N170" s="11"/>
      <c r="O170" s="11">
        <f t="shared" si="6"/>
        <v>0</v>
      </c>
      <c r="P170" s="11" t="str">
        <f t="shared" si="7"/>
        <v>Punkte M 7-9</v>
      </c>
      <c r="Q170" s="11" t="str">
        <f t="shared" si="8"/>
        <v>Noten-Matrix-Jungen</v>
      </c>
      <c r="R170" s="13">
        <f t="shared" si="9"/>
        <v>0</v>
      </c>
      <c r="S170" s="11" t="str">
        <f>IF(R170=0, "Keine Teilnahme", IFERROR(IF(R170&gt;=VLOOKUP(G170&amp;LOWER(E170), Formeln!$H$2:$K$30, 4, FALSE), "Ehrenurkunde", IF(R170&gt;=VLOOKUP(G170&amp;LOWER(E170), Formeln!$H$2:$K$30, 3, FALSE), "Siegerurkunde", "Teilnehmerurkunde")), "Keine Urkunde"))</f>
        <v>Keine Teilnahme</v>
      </c>
      <c r="T170" s="14" t="str">
        <f t="shared" si="10"/>
        <v>Keine Teilnahme</v>
      </c>
    </row>
    <row r="171" ht="19.5" hidden="1" customHeight="1">
      <c r="A171" s="15" t="str">
        <f>IF(ASV_Daten!A171="","",ASV_Daten!A171)</f>
        <v>R7A</v>
      </c>
      <c r="B171" s="15" t="str">
        <f>IF(ASV_Daten!B171="","",ASV_Daten!B171)</f>
        <v>Köhler</v>
      </c>
      <c r="C171" s="15" t="str">
        <f>IF(ASV_Daten!C171="","",ASV_Daten!C171)</f>
        <v>Lars</v>
      </c>
      <c r="D171" s="15">
        <f>IF(ASV_Daten!D171="","",ASV_Daten!D171)</f>
        <v>2013</v>
      </c>
      <c r="E171" s="15" t="str">
        <f>IF(ASV_Daten!E171="","",ASV_Daten!E171)</f>
        <v>M</v>
      </c>
      <c r="F171" s="16" t="str">
        <f t="shared" si="1"/>
        <v>7</v>
      </c>
      <c r="G171" s="17">
        <f t="shared" si="2"/>
        <v>13</v>
      </c>
      <c r="H171" s="19"/>
      <c r="I171" s="19">
        <f t="shared" si="3"/>
        <v>0</v>
      </c>
      <c r="J171" s="19"/>
      <c r="K171" s="19">
        <f t="shared" si="4"/>
        <v>0</v>
      </c>
      <c r="L171" s="20">
        <v>3.21</v>
      </c>
      <c r="M171" s="19">
        <f t="shared" si="5"/>
        <v>292</v>
      </c>
      <c r="N171" s="20">
        <v>23.5</v>
      </c>
      <c r="O171" s="19">
        <f t="shared" si="6"/>
        <v>234</v>
      </c>
      <c r="P171" s="19" t="str">
        <f t="shared" si="7"/>
        <v>Punkte M 7-9</v>
      </c>
      <c r="Q171" s="19" t="str">
        <f t="shared" si="8"/>
        <v>Noten-Matrix-Jungen</v>
      </c>
      <c r="R171" s="21">
        <f t="shared" si="9"/>
        <v>526</v>
      </c>
      <c r="S171" s="19" t="str">
        <f>IF(R171=0, "Keine Teilnahme", IFERROR(IF(R171&gt;=VLOOKUP(G171&amp;LOWER(E171), Formeln!$H$2:$K$30, 4, FALSE), "Ehrenurkunde", IF(R171&gt;=VLOOKUP(G171&amp;LOWER(E171), Formeln!$H$2:$K$30, 3, FALSE), "Siegerurkunde", "Teilnehmerurkunde")), "Keine Urkunde"))</f>
        <v>Teilnehmerurkunde</v>
      </c>
      <c r="T171" s="22" t="str">
        <f t="shared" si="10"/>
        <v>NOTE</v>
      </c>
    </row>
    <row r="172" ht="19.5" hidden="1" customHeight="1">
      <c r="A172" s="7" t="str">
        <f>IF(ASV_Daten!A168="","",ASV_Daten!A168)</f>
        <v>R7A</v>
      </c>
      <c r="B172" s="7" t="str">
        <f>IF(ASV_Daten!B168="","",ASV_Daten!B168)</f>
        <v>Kirmair</v>
      </c>
      <c r="C172" s="7" t="str">
        <f>IF(ASV_Daten!C168="","",ASV_Daten!C168)</f>
        <v>Lennox</v>
      </c>
      <c r="D172" s="7">
        <f>IF(ASV_Daten!D168="","",ASV_Daten!D168)</f>
        <v>2013</v>
      </c>
      <c r="E172" s="7" t="str">
        <f>IF(ASV_Daten!E168="","",ASV_Daten!E168)</f>
        <v>M</v>
      </c>
      <c r="F172" s="8" t="str">
        <f t="shared" si="1"/>
        <v>7</v>
      </c>
      <c r="G172" s="9">
        <f t="shared" si="2"/>
        <v>13</v>
      </c>
      <c r="H172" s="11"/>
      <c r="I172" s="11">
        <f t="shared" si="3"/>
        <v>0</v>
      </c>
      <c r="J172" s="12">
        <v>12.1</v>
      </c>
      <c r="K172" s="11">
        <f t="shared" si="4"/>
        <v>297</v>
      </c>
      <c r="L172" s="12">
        <v>3.61</v>
      </c>
      <c r="M172" s="11">
        <f t="shared" si="5"/>
        <v>342</v>
      </c>
      <c r="N172" s="12">
        <v>32.0</v>
      </c>
      <c r="O172" s="11">
        <f t="shared" si="6"/>
        <v>300</v>
      </c>
      <c r="P172" s="11" t="str">
        <f t="shared" si="7"/>
        <v>Punkte M 7-9</v>
      </c>
      <c r="Q172" s="11" t="str">
        <f t="shared" si="8"/>
        <v>Noten-Matrix-Jungen</v>
      </c>
      <c r="R172" s="13">
        <f t="shared" si="9"/>
        <v>939</v>
      </c>
      <c r="S172" s="11" t="str">
        <f>IF(R172=0, "Keine Teilnahme", IFERROR(IF(R172&gt;=VLOOKUP(G172&amp;LOWER(E172), Formeln!$H$2:$K$30, 4, FALSE), "Ehrenurkunde", IF(R172&gt;=VLOOKUP(G172&amp;LOWER(E172), Formeln!$H$2:$K$30, 3, FALSE), "Siegerurkunde", "Teilnehmerurkunde")), "Keine Urkunde"))</f>
        <v>Siegerurkunde</v>
      </c>
      <c r="T172" s="14">
        <f t="shared" si="10"/>
        <v>2.1</v>
      </c>
    </row>
    <row r="173" ht="19.5" hidden="1" customHeight="1">
      <c r="A173" s="15" t="str">
        <f>IF(ASV_Daten!A181="","",ASV_Daten!A181)</f>
        <v>R7A</v>
      </c>
      <c r="B173" s="15" t="str">
        <f>IF(ASV_Daten!B181="","",ASV_Daten!B181)</f>
        <v>Schätzle</v>
      </c>
      <c r="C173" s="15" t="str">
        <f>IF(ASV_Daten!C181="","",ASV_Daten!C181)</f>
        <v>Leon</v>
      </c>
      <c r="D173" s="15">
        <f>IF(ASV_Daten!D181="","",ASV_Daten!D181)</f>
        <v>2013</v>
      </c>
      <c r="E173" s="15" t="str">
        <f>IF(ASV_Daten!E181="","",ASV_Daten!E181)</f>
        <v>M</v>
      </c>
      <c r="F173" s="16" t="str">
        <f t="shared" si="1"/>
        <v>7</v>
      </c>
      <c r="G173" s="17">
        <f t="shared" si="2"/>
        <v>13</v>
      </c>
      <c r="H173" s="19"/>
      <c r="I173" s="19">
        <f t="shared" si="3"/>
        <v>0</v>
      </c>
      <c r="J173" s="20">
        <v>10.4</v>
      </c>
      <c r="K173" s="19">
        <f t="shared" si="4"/>
        <v>444</v>
      </c>
      <c r="L173" s="20">
        <v>4.41</v>
      </c>
      <c r="M173" s="19">
        <f t="shared" si="5"/>
        <v>433</v>
      </c>
      <c r="N173" s="20">
        <v>33.5</v>
      </c>
      <c r="O173" s="19">
        <f t="shared" si="6"/>
        <v>310</v>
      </c>
      <c r="P173" s="19" t="str">
        <f t="shared" si="7"/>
        <v>Punkte M 7-9</v>
      </c>
      <c r="Q173" s="19" t="str">
        <f t="shared" si="8"/>
        <v>Noten-Matrix-Jungen</v>
      </c>
      <c r="R173" s="21">
        <f t="shared" si="9"/>
        <v>1187</v>
      </c>
      <c r="S173" s="19" t="str">
        <f>IF(R173=0, "Keine Teilnahme", IFERROR(IF(R173&gt;=VLOOKUP(G173&amp;LOWER(E173), Formeln!$H$2:$K$30, 4, FALSE), "Ehrenurkunde", IF(R173&gt;=VLOOKUP(G173&amp;LOWER(E173), Formeln!$H$2:$K$30, 3, FALSE), "Siegerurkunde", "Teilnehmerurkunde")), "Keine Urkunde"))</f>
        <v>Ehrenurkunde</v>
      </c>
      <c r="T173" s="22">
        <f t="shared" si="10"/>
        <v>1</v>
      </c>
    </row>
    <row r="174" ht="19.5" hidden="1" customHeight="1">
      <c r="A174" s="7" t="str">
        <f>IF(ASV_Daten!A163="","",ASV_Daten!A163)</f>
        <v>R7A</v>
      </c>
      <c r="B174" s="7" t="str">
        <f>IF(ASV_Daten!B163="","",ASV_Daten!B163)</f>
        <v>Banmiller</v>
      </c>
      <c r="C174" s="7" t="str">
        <f>IF(ASV_Daten!C163="","",ASV_Daten!C163)</f>
        <v>Linus</v>
      </c>
      <c r="D174" s="7">
        <f>IF(ASV_Daten!D163="","",ASV_Daten!D163)</f>
        <v>2013</v>
      </c>
      <c r="E174" s="7" t="str">
        <f>IF(ASV_Daten!E163="","",ASV_Daten!E163)</f>
        <v>M</v>
      </c>
      <c r="F174" s="8" t="str">
        <f t="shared" si="1"/>
        <v>7</v>
      </c>
      <c r="G174" s="9">
        <f t="shared" si="2"/>
        <v>13</v>
      </c>
      <c r="H174" s="11"/>
      <c r="I174" s="11">
        <f t="shared" si="3"/>
        <v>0</v>
      </c>
      <c r="J174" s="12">
        <v>12.0</v>
      </c>
      <c r="K174" s="11">
        <f t="shared" si="4"/>
        <v>305</v>
      </c>
      <c r="L174" s="12">
        <v>3.45</v>
      </c>
      <c r="M174" s="11">
        <f t="shared" si="5"/>
        <v>322</v>
      </c>
      <c r="N174" s="12">
        <v>28.0</v>
      </c>
      <c r="O174" s="11">
        <f t="shared" si="6"/>
        <v>270</v>
      </c>
      <c r="P174" s="11" t="str">
        <f t="shared" si="7"/>
        <v>Punkte M 7-9</v>
      </c>
      <c r="Q174" s="11" t="str">
        <f t="shared" si="8"/>
        <v>Noten-Matrix-Jungen</v>
      </c>
      <c r="R174" s="13">
        <f t="shared" si="9"/>
        <v>897</v>
      </c>
      <c r="S174" s="11" t="str">
        <f>IF(R174=0, "Keine Teilnahme", IFERROR(IF(R174&gt;=VLOOKUP(G174&amp;LOWER(E174), Formeln!$H$2:$K$30, 4, FALSE), "Ehrenurkunde", IF(R174&gt;=VLOOKUP(G174&amp;LOWER(E174), Formeln!$H$2:$K$30, 3, FALSE), "Siegerurkunde", "Teilnehmerurkunde")), "Keine Urkunde"))</f>
        <v>Siegerurkunde</v>
      </c>
      <c r="T174" s="14">
        <f t="shared" si="10"/>
        <v>2.3</v>
      </c>
    </row>
    <row r="175" ht="19.5" hidden="1" customHeight="1">
      <c r="A175" s="15" t="str">
        <f>IF(ASV_Daten!A167="","",ASV_Daten!A167)</f>
        <v>R7A</v>
      </c>
      <c r="B175" s="15" t="str">
        <f>IF(ASV_Daten!B167="","",ASV_Daten!B167)</f>
        <v>Katava</v>
      </c>
      <c r="C175" s="15" t="str">
        <f>IF(ASV_Daten!C167="","",ASV_Daten!C167)</f>
        <v>Luka</v>
      </c>
      <c r="D175" s="15">
        <f>IF(ASV_Daten!D167="","",ASV_Daten!D167)</f>
        <v>2013</v>
      </c>
      <c r="E175" s="15" t="str">
        <f>IF(ASV_Daten!E167="","",ASV_Daten!E167)</f>
        <v>M</v>
      </c>
      <c r="F175" s="16" t="str">
        <f t="shared" si="1"/>
        <v>7</v>
      </c>
      <c r="G175" s="17">
        <f t="shared" si="2"/>
        <v>13</v>
      </c>
      <c r="H175" s="19"/>
      <c r="I175" s="19">
        <f t="shared" si="3"/>
        <v>0</v>
      </c>
      <c r="J175" s="20">
        <v>11.3</v>
      </c>
      <c r="K175" s="19">
        <f t="shared" si="4"/>
        <v>361</v>
      </c>
      <c r="L175" s="20">
        <v>2.93</v>
      </c>
      <c r="M175" s="19">
        <f t="shared" si="5"/>
        <v>256</v>
      </c>
      <c r="N175" s="20">
        <v>27.0</v>
      </c>
      <c r="O175" s="19">
        <f t="shared" si="6"/>
        <v>262</v>
      </c>
      <c r="P175" s="19" t="str">
        <f t="shared" si="7"/>
        <v>Punkte M 7-9</v>
      </c>
      <c r="Q175" s="19" t="str">
        <f t="shared" si="8"/>
        <v>Noten-Matrix-Jungen</v>
      </c>
      <c r="R175" s="21">
        <f t="shared" si="9"/>
        <v>879</v>
      </c>
      <c r="S175" s="19" t="str">
        <f>IF(R175=0, "Keine Teilnahme", IFERROR(IF(R175&gt;=VLOOKUP(G175&amp;LOWER(E175), Formeln!$H$2:$K$30, 4, FALSE), "Ehrenurkunde", IF(R175&gt;=VLOOKUP(G175&amp;LOWER(E175), Formeln!$H$2:$K$30, 3, FALSE), "Siegerurkunde", "Teilnehmerurkunde")), "Keine Urkunde"))</f>
        <v>Siegerurkunde</v>
      </c>
      <c r="T175" s="22">
        <f t="shared" si="10"/>
        <v>2.4</v>
      </c>
    </row>
    <row r="176" ht="19.5" hidden="1" customHeight="1">
      <c r="A176" s="7" t="str">
        <f>IF(ASV_Daten!A170="","",ASV_Daten!A170)</f>
        <v>R7A</v>
      </c>
      <c r="B176" s="7" t="str">
        <f>IF(ASV_Daten!B170="","",ASV_Daten!B170)</f>
        <v>Koba</v>
      </c>
      <c r="C176" s="7" t="str">
        <f>IF(ASV_Daten!C170="","",ASV_Daten!C170)</f>
        <v>Mark</v>
      </c>
      <c r="D176" s="7">
        <f>IF(ASV_Daten!D170="","",ASV_Daten!D170)</f>
        <v>2013</v>
      </c>
      <c r="E176" s="7" t="str">
        <f>IF(ASV_Daten!E170="","",ASV_Daten!E170)</f>
        <v>M</v>
      </c>
      <c r="F176" s="8" t="str">
        <f t="shared" si="1"/>
        <v>7</v>
      </c>
      <c r="G176" s="9">
        <f t="shared" si="2"/>
        <v>13</v>
      </c>
      <c r="H176" s="11"/>
      <c r="I176" s="11">
        <f t="shared" si="3"/>
        <v>0</v>
      </c>
      <c r="J176" s="12">
        <v>11.7</v>
      </c>
      <c r="K176" s="11">
        <f t="shared" si="4"/>
        <v>328</v>
      </c>
      <c r="L176" s="12">
        <v>3.41</v>
      </c>
      <c r="M176" s="11">
        <f t="shared" si="5"/>
        <v>317</v>
      </c>
      <c r="N176" s="12">
        <v>22.0</v>
      </c>
      <c r="O176" s="11">
        <f t="shared" si="6"/>
        <v>222</v>
      </c>
      <c r="P176" s="11" t="str">
        <f t="shared" si="7"/>
        <v>Punkte M 7-9</v>
      </c>
      <c r="Q176" s="11" t="str">
        <f t="shared" si="8"/>
        <v>Noten-Matrix-Jungen</v>
      </c>
      <c r="R176" s="13">
        <f t="shared" si="9"/>
        <v>867</v>
      </c>
      <c r="S176" s="11" t="str">
        <f>IF(R176=0, "Keine Teilnahme", IFERROR(IF(R176&gt;=VLOOKUP(G176&amp;LOWER(E176), Formeln!$H$2:$K$30, 4, FALSE), "Ehrenurkunde", IF(R176&gt;=VLOOKUP(G176&amp;LOWER(E176), Formeln!$H$2:$K$30, 3, FALSE), "Siegerurkunde", "Teilnehmerurkunde")), "Keine Urkunde"))</f>
        <v>Siegerurkunde</v>
      </c>
      <c r="T176" s="14">
        <f t="shared" si="10"/>
        <v>2.5</v>
      </c>
    </row>
    <row r="177" ht="19.5" hidden="1" customHeight="1">
      <c r="A177" s="15" t="str">
        <f>IF(ASV_Daten!A174="","",ASV_Daten!A174)</f>
        <v>R7A</v>
      </c>
      <c r="B177" s="15" t="str">
        <f>IF(ASV_Daten!B174="","",ASV_Daten!B174)</f>
        <v>Müller</v>
      </c>
      <c r="C177" s="15" t="str">
        <f>IF(ASV_Daten!C174="","",ASV_Daten!C174)</f>
        <v>Maximilian</v>
      </c>
      <c r="D177" s="15">
        <f>IF(ASV_Daten!D174="","",ASV_Daten!D174)</f>
        <v>2012</v>
      </c>
      <c r="E177" s="15" t="str">
        <f>IF(ASV_Daten!E174="","",ASV_Daten!E174)</f>
        <v>M</v>
      </c>
      <c r="F177" s="16" t="str">
        <f t="shared" si="1"/>
        <v>7</v>
      </c>
      <c r="G177" s="17">
        <f t="shared" si="2"/>
        <v>14</v>
      </c>
      <c r="H177" s="25"/>
      <c r="I177" s="19">
        <f t="shared" si="3"/>
        <v>0</v>
      </c>
      <c r="J177" s="20">
        <v>11.9</v>
      </c>
      <c r="K177" s="19">
        <f t="shared" si="4"/>
        <v>312</v>
      </c>
      <c r="L177" s="20">
        <v>3.21</v>
      </c>
      <c r="M177" s="19">
        <f t="shared" si="5"/>
        <v>292</v>
      </c>
      <c r="N177" s="20">
        <v>27.5</v>
      </c>
      <c r="O177" s="19">
        <f t="shared" si="6"/>
        <v>266</v>
      </c>
      <c r="P177" s="19" t="str">
        <f t="shared" si="7"/>
        <v>Punkte M 7-9</v>
      </c>
      <c r="Q177" s="19" t="str">
        <f t="shared" si="8"/>
        <v>Noten-Matrix-Jungen</v>
      </c>
      <c r="R177" s="21">
        <f t="shared" si="9"/>
        <v>870</v>
      </c>
      <c r="S177" s="19" t="str">
        <f>IF(R177=0, "Keine Teilnahme", IFERROR(IF(R177&gt;=VLOOKUP(G177&amp;LOWER(E177), Formeln!$H$2:$K$30, 4, FALSE), "Ehrenurkunde", IF(R177&gt;=VLOOKUP(G177&amp;LOWER(E177), Formeln!$H$2:$K$30, 3, FALSE), "Siegerurkunde", "Teilnehmerurkunde")), "Keine Urkunde"))</f>
        <v>Teilnehmerurkunde</v>
      </c>
      <c r="T177" s="22">
        <f t="shared" si="10"/>
        <v>2.9</v>
      </c>
    </row>
    <row r="178" ht="19.5" hidden="1" customHeight="1">
      <c r="A178" s="7" t="str">
        <f>IF(ASV_Daten!A166="","",ASV_Daten!A166)</f>
        <v>R7A</v>
      </c>
      <c r="B178" s="7" t="str">
        <f>IF(ASV_Daten!B166="","",ASV_Daten!B166)</f>
        <v>Jarusch</v>
      </c>
      <c r="C178" s="7" t="str">
        <f>IF(ASV_Daten!C166="","",ASV_Daten!C166)</f>
        <v>Patrik</v>
      </c>
      <c r="D178" s="7">
        <f>IF(ASV_Daten!D166="","",ASV_Daten!D166)</f>
        <v>2013</v>
      </c>
      <c r="E178" s="7" t="str">
        <f>IF(ASV_Daten!E166="","",ASV_Daten!E166)</f>
        <v>M</v>
      </c>
      <c r="F178" s="8" t="str">
        <f t="shared" si="1"/>
        <v>7</v>
      </c>
      <c r="G178" s="9">
        <f t="shared" si="2"/>
        <v>13</v>
      </c>
      <c r="H178" s="10">
        <v>0.17222222222222222</v>
      </c>
      <c r="I178" s="11">
        <f t="shared" si="3"/>
        <v>312</v>
      </c>
      <c r="J178" s="11"/>
      <c r="K178" s="11">
        <f t="shared" si="4"/>
        <v>0</v>
      </c>
      <c r="L178" s="12">
        <v>4.13</v>
      </c>
      <c r="M178" s="11">
        <f t="shared" si="5"/>
        <v>402</v>
      </c>
      <c r="N178" s="12">
        <v>34.0</v>
      </c>
      <c r="O178" s="11">
        <f t="shared" si="6"/>
        <v>314</v>
      </c>
      <c r="P178" s="11" t="str">
        <f t="shared" si="7"/>
        <v>Punkte M 7-9</v>
      </c>
      <c r="Q178" s="11" t="str">
        <f t="shared" si="8"/>
        <v>Noten-Matrix-Jungen</v>
      </c>
      <c r="R178" s="13">
        <f t="shared" si="9"/>
        <v>1028</v>
      </c>
      <c r="S178" s="11" t="str">
        <f>IF(R178=0, "Keine Teilnahme", IFERROR(IF(R178&gt;=VLOOKUP(G178&amp;LOWER(E178), Formeln!$H$2:$K$30, 4, FALSE), "Ehrenurkunde", IF(R178&gt;=VLOOKUP(G178&amp;LOWER(E178), Formeln!$H$2:$K$30, 3, FALSE), "Siegerurkunde", "Teilnehmerurkunde")), "Keine Urkunde"))</f>
        <v>Siegerurkunde</v>
      </c>
      <c r="T178" s="14">
        <f t="shared" si="10"/>
        <v>1.7</v>
      </c>
    </row>
    <row r="179" ht="19.5" hidden="1" customHeight="1">
      <c r="A179" s="15" t="str">
        <f>IF(ASV_Daten!A179="","",ASV_Daten!A179)</f>
        <v>R7A</v>
      </c>
      <c r="B179" s="15" t="str">
        <f>IF(ASV_Daten!B179="","",ASV_Daten!B179)</f>
        <v>Ruiz-Huber</v>
      </c>
      <c r="C179" s="15" t="str">
        <f>IF(ASV_Daten!C179="","",ASV_Daten!C179)</f>
        <v>Rayan</v>
      </c>
      <c r="D179" s="15">
        <f>IF(ASV_Daten!D179="","",ASV_Daten!D179)</f>
        <v>2011</v>
      </c>
      <c r="E179" s="15" t="str">
        <f>IF(ASV_Daten!E179="","",ASV_Daten!E179)</f>
        <v>M</v>
      </c>
      <c r="F179" s="16" t="str">
        <f t="shared" si="1"/>
        <v>7</v>
      </c>
      <c r="G179" s="17">
        <f t="shared" si="2"/>
        <v>15</v>
      </c>
      <c r="H179" s="18">
        <v>0.21319444444444444</v>
      </c>
      <c r="I179" s="19">
        <f t="shared" si="3"/>
        <v>179</v>
      </c>
      <c r="J179" s="19"/>
      <c r="K179" s="19">
        <f t="shared" si="4"/>
        <v>0</v>
      </c>
      <c r="L179" s="20">
        <v>2.81</v>
      </c>
      <c r="M179" s="19">
        <f t="shared" si="5"/>
        <v>240</v>
      </c>
      <c r="N179" s="20">
        <v>23.0</v>
      </c>
      <c r="O179" s="19">
        <f t="shared" si="6"/>
        <v>230</v>
      </c>
      <c r="P179" s="19" t="str">
        <f t="shared" si="7"/>
        <v>Punkte M 7-9</v>
      </c>
      <c r="Q179" s="19" t="str">
        <f t="shared" si="8"/>
        <v>Noten-Matrix-Jungen</v>
      </c>
      <c r="R179" s="21">
        <f t="shared" si="9"/>
        <v>649</v>
      </c>
      <c r="S179" s="19" t="str">
        <f>IF(R179=0, "Keine Teilnahme", IFERROR(IF(R179&gt;=VLOOKUP(G179&amp;LOWER(E179), Formeln!$H$2:$K$30, 4, FALSE), "Ehrenurkunde", IF(R179&gt;=VLOOKUP(G179&amp;LOWER(E179), Formeln!$H$2:$K$30, 3, FALSE), "Siegerurkunde", "Teilnehmerurkunde")), "Keine Urkunde"))</f>
        <v>Teilnehmerurkunde</v>
      </c>
      <c r="T179" s="22" t="str">
        <f t="shared" si="10"/>
        <v>NOTE</v>
      </c>
    </row>
    <row r="180" ht="19.5" hidden="1" customHeight="1">
      <c r="A180" s="7" t="str">
        <f>IF(ASV_Daten!A176="","",ASV_Daten!A176)</f>
        <v>R7A</v>
      </c>
      <c r="B180" s="7" t="str">
        <f>IF(ASV_Daten!B176="","",ASV_Daten!B176)</f>
        <v>Omar</v>
      </c>
      <c r="C180" s="7" t="str">
        <f>IF(ASV_Daten!C176="","",ASV_Daten!C176)</f>
        <v>Sham</v>
      </c>
      <c r="D180" s="7">
        <f>IF(ASV_Daten!D176="","",ASV_Daten!D176)</f>
        <v>2012</v>
      </c>
      <c r="E180" s="7" t="str">
        <f>IF(ASV_Daten!E176="","",ASV_Daten!E176)</f>
        <v>W</v>
      </c>
      <c r="F180" s="8" t="str">
        <f t="shared" si="1"/>
        <v>7</v>
      </c>
      <c r="G180" s="9">
        <f t="shared" si="2"/>
        <v>14</v>
      </c>
      <c r="H180" s="11"/>
      <c r="I180" s="11">
        <f t="shared" si="3"/>
        <v>0</v>
      </c>
      <c r="J180" s="11"/>
      <c r="K180" s="11">
        <f t="shared" si="4"/>
        <v>0</v>
      </c>
      <c r="L180" s="11"/>
      <c r="M180" s="11">
        <f t="shared" si="5"/>
        <v>0</v>
      </c>
      <c r="N180" s="11"/>
      <c r="O180" s="11">
        <f t="shared" si="6"/>
        <v>0</v>
      </c>
      <c r="P180" s="11" t="str">
        <f t="shared" si="7"/>
        <v>Punkte W 7-9</v>
      </c>
      <c r="Q180" s="11" t="str">
        <f t="shared" si="8"/>
        <v>Noten-Matrix-Mädchen</v>
      </c>
      <c r="R180" s="13">
        <f t="shared" si="9"/>
        <v>0</v>
      </c>
      <c r="S180" s="11" t="str">
        <f>IF(R180=0, "Keine Teilnahme", IFERROR(IF(R180&gt;=VLOOKUP(G180&amp;LOWER(E180), Formeln!$H$2:$K$30, 4, FALSE), "Ehrenurkunde", IF(R180&gt;=VLOOKUP(G180&amp;LOWER(E180), Formeln!$H$2:$K$30, 3, FALSE), "Siegerurkunde", "Teilnehmerurkunde")), "Keine Urkunde"))</f>
        <v>Keine Teilnahme</v>
      </c>
      <c r="T180" s="14" t="str">
        <f t="shared" si="10"/>
        <v>Keine Teilnahme</v>
      </c>
    </row>
    <row r="181" ht="19.5" hidden="1" customHeight="1">
      <c r="A181" s="15" t="str">
        <f>IF(ASV_Daten!A165="","",ASV_Daten!A165)</f>
        <v>R7A</v>
      </c>
      <c r="B181" s="15" t="str">
        <f>IF(ASV_Daten!B165="","",ASV_Daten!B165)</f>
        <v>Frenzel</v>
      </c>
      <c r="C181" s="15" t="str">
        <f>IF(ASV_Daten!C165="","",ASV_Daten!C165)</f>
        <v>Sunny</v>
      </c>
      <c r="D181" s="15">
        <f>IF(ASV_Daten!D165="","",ASV_Daten!D165)</f>
        <v>2013</v>
      </c>
      <c r="E181" s="15" t="str">
        <f>IF(ASV_Daten!E165="","",ASV_Daten!E165)</f>
        <v>W</v>
      </c>
      <c r="F181" s="16" t="str">
        <f t="shared" si="1"/>
        <v>7</v>
      </c>
      <c r="G181" s="17">
        <f t="shared" si="2"/>
        <v>13</v>
      </c>
      <c r="H181" s="19"/>
      <c r="I181" s="19">
        <f t="shared" si="3"/>
        <v>0</v>
      </c>
      <c r="J181" s="20">
        <v>13.0</v>
      </c>
      <c r="K181" s="19">
        <f t="shared" si="4"/>
        <v>252</v>
      </c>
      <c r="L181" s="20">
        <v>2.41</v>
      </c>
      <c r="M181" s="19">
        <f t="shared" si="5"/>
        <v>220</v>
      </c>
      <c r="N181" s="20">
        <v>16.0</v>
      </c>
      <c r="O181" s="19">
        <f t="shared" si="6"/>
        <v>248</v>
      </c>
      <c r="P181" s="19" t="str">
        <f t="shared" si="7"/>
        <v>Punkte W 7-9</v>
      </c>
      <c r="Q181" s="19" t="str">
        <f t="shared" si="8"/>
        <v>Noten-Matrix-Mädchen</v>
      </c>
      <c r="R181" s="21">
        <f t="shared" si="9"/>
        <v>720</v>
      </c>
      <c r="S181" s="19" t="str">
        <f>IF(R181=0, "Keine Teilnahme", IFERROR(IF(R181&gt;=VLOOKUP(G181&amp;LOWER(E181), Formeln!$H$2:$K$30, 4, FALSE), "Ehrenurkunde", IF(R181&gt;=VLOOKUP(G181&amp;LOWER(E181), Formeln!$H$2:$K$30, 3, FALSE), "Siegerurkunde", "Teilnehmerurkunde")), "Keine Urkunde"))</f>
        <v>Teilnehmerurkunde</v>
      </c>
      <c r="T181" s="22">
        <f t="shared" si="10"/>
        <v>3.4</v>
      </c>
    </row>
    <row r="182" ht="19.5" hidden="1" customHeight="1">
      <c r="A182" s="7" t="str">
        <f>IF(ASV_Daten!A182="","",ASV_Daten!A182)</f>
        <v>R7A</v>
      </c>
      <c r="B182" s="7" t="str">
        <f>IF(ASV_Daten!B182="","",ASV_Daten!B182)</f>
        <v>Schwörer</v>
      </c>
      <c r="C182" s="7" t="str">
        <f>IF(ASV_Daten!C182="","",ASV_Daten!C182)</f>
        <v>Tilo</v>
      </c>
      <c r="D182" s="7">
        <f>IF(ASV_Daten!D182="","",ASV_Daten!D182)</f>
        <v>2012</v>
      </c>
      <c r="E182" s="7" t="str">
        <f>IF(ASV_Daten!E182="","",ASV_Daten!E182)</f>
        <v>M</v>
      </c>
      <c r="F182" s="8" t="str">
        <f t="shared" si="1"/>
        <v>7</v>
      </c>
      <c r="G182" s="9">
        <f t="shared" si="2"/>
        <v>14</v>
      </c>
      <c r="H182" s="10">
        <v>0.18055555555555555</v>
      </c>
      <c r="I182" s="11">
        <f t="shared" si="3"/>
        <v>281</v>
      </c>
      <c r="J182" s="11"/>
      <c r="K182" s="11">
        <f t="shared" si="4"/>
        <v>0</v>
      </c>
      <c r="L182" s="12">
        <v>3.13</v>
      </c>
      <c r="M182" s="11">
        <f t="shared" si="5"/>
        <v>282</v>
      </c>
      <c r="N182" s="12">
        <v>23.0</v>
      </c>
      <c r="O182" s="11">
        <f t="shared" si="6"/>
        <v>230</v>
      </c>
      <c r="P182" s="11" t="str">
        <f t="shared" si="7"/>
        <v>Punkte M 7-9</v>
      </c>
      <c r="Q182" s="11" t="str">
        <f t="shared" si="8"/>
        <v>Noten-Matrix-Jungen</v>
      </c>
      <c r="R182" s="13">
        <f t="shared" si="9"/>
        <v>793</v>
      </c>
      <c r="S182" s="11" t="str">
        <f>IF(R182=0, "Keine Teilnahme", IFERROR(IF(R182&gt;=VLOOKUP(G182&amp;LOWER(E182), Formeln!$H$2:$K$30, 4, FALSE), "Ehrenurkunde", IF(R182&gt;=VLOOKUP(G182&amp;LOWER(E182), Formeln!$H$2:$K$30, 3, FALSE), "Siegerurkunde", "Teilnehmerurkunde")), "Keine Urkunde"))</f>
        <v>Teilnehmerurkunde</v>
      </c>
      <c r="T182" s="14">
        <f t="shared" si="10"/>
        <v>3.5</v>
      </c>
    </row>
    <row r="183" ht="19.5" hidden="1" customHeight="1">
      <c r="A183" s="15" t="str">
        <f>IF(ASV_Daten!A169="","",ASV_Daten!A169)</f>
        <v>R7A</v>
      </c>
      <c r="B183" s="15" t="str">
        <f>IF(ASV_Daten!B169="","",ASV_Daten!B169)</f>
        <v>Kling</v>
      </c>
      <c r="C183" s="15" t="str">
        <f>IF(ASV_Daten!C169="","",ASV_Daten!C169)</f>
        <v>Vanessa</v>
      </c>
      <c r="D183" s="15">
        <f>IF(ASV_Daten!D169="","",ASV_Daten!D169)</f>
        <v>2012</v>
      </c>
      <c r="E183" s="15" t="str">
        <f>IF(ASV_Daten!E169="","",ASV_Daten!E169)</f>
        <v>W</v>
      </c>
      <c r="F183" s="16" t="str">
        <f t="shared" si="1"/>
        <v>7</v>
      </c>
      <c r="G183" s="17">
        <f t="shared" si="2"/>
        <v>14</v>
      </c>
      <c r="H183" s="19"/>
      <c r="I183" s="19">
        <f t="shared" si="3"/>
        <v>0</v>
      </c>
      <c r="J183" s="20">
        <v>12.4</v>
      </c>
      <c r="K183" s="19">
        <f t="shared" si="4"/>
        <v>293</v>
      </c>
      <c r="L183" s="20">
        <v>3.13</v>
      </c>
      <c r="M183" s="19">
        <f t="shared" si="5"/>
        <v>324</v>
      </c>
      <c r="N183" s="20">
        <v>17.0</v>
      </c>
      <c r="O183" s="19">
        <f t="shared" si="6"/>
        <v>260</v>
      </c>
      <c r="P183" s="19" t="str">
        <f t="shared" si="7"/>
        <v>Punkte W 7-9</v>
      </c>
      <c r="Q183" s="19" t="str">
        <f t="shared" si="8"/>
        <v>Noten-Matrix-Mädchen</v>
      </c>
      <c r="R183" s="21">
        <f t="shared" si="9"/>
        <v>877</v>
      </c>
      <c r="S183" s="19" t="str">
        <f>IF(R183=0, "Keine Teilnahme", IFERROR(IF(R183&gt;=VLOOKUP(G183&amp;LOWER(E183), Formeln!$H$2:$K$30, 4, FALSE), "Ehrenurkunde", IF(R183&gt;=VLOOKUP(G183&amp;LOWER(E183), Formeln!$H$2:$K$30, 3, FALSE), "Siegerurkunde", "Teilnehmerurkunde")), "Keine Urkunde"))</f>
        <v>Teilnehmerurkunde</v>
      </c>
      <c r="T183" s="22">
        <f t="shared" si="10"/>
        <v>2.6</v>
      </c>
    </row>
    <row r="184" ht="19.5" hidden="1" customHeight="1">
      <c r="A184" s="7" t="str">
        <f>IF(ASV_Daten!A175="","",ASV_Daten!A175)</f>
        <v>R7A</v>
      </c>
      <c r="B184" s="7" t="str">
        <f>IF(ASV_Daten!B175="","",ASV_Daten!B175)</f>
        <v>Nikolov</v>
      </c>
      <c r="C184" s="7" t="str">
        <f>IF(ASV_Daten!C175="","",ASV_Daten!C175)</f>
        <v>Vitomir</v>
      </c>
      <c r="D184" s="7">
        <f>IF(ASV_Daten!D175="","",ASV_Daten!D175)</f>
        <v>2013</v>
      </c>
      <c r="E184" s="7" t="str">
        <f>IF(ASV_Daten!E175="","",ASV_Daten!E175)</f>
        <v>M</v>
      </c>
      <c r="F184" s="8" t="str">
        <f t="shared" si="1"/>
        <v>7</v>
      </c>
      <c r="G184" s="9">
        <f t="shared" si="2"/>
        <v>13</v>
      </c>
      <c r="H184" s="10">
        <v>0.16666666666666666</v>
      </c>
      <c r="I184" s="11">
        <f t="shared" si="3"/>
        <v>334</v>
      </c>
      <c r="J184" s="11"/>
      <c r="K184" s="11">
        <f t="shared" si="4"/>
        <v>0</v>
      </c>
      <c r="L184" s="11"/>
      <c r="M184" s="11">
        <f t="shared" si="5"/>
        <v>0</v>
      </c>
      <c r="N184" s="12">
        <v>23.0</v>
      </c>
      <c r="O184" s="11">
        <f t="shared" si="6"/>
        <v>230</v>
      </c>
      <c r="P184" s="11" t="str">
        <f t="shared" si="7"/>
        <v>Punkte M 7-9</v>
      </c>
      <c r="Q184" s="11" t="str">
        <f t="shared" si="8"/>
        <v>Noten-Matrix-Jungen</v>
      </c>
      <c r="R184" s="13">
        <f t="shared" si="9"/>
        <v>564</v>
      </c>
      <c r="S184" s="11" t="str">
        <f>IF(R184=0, "Keine Teilnahme", IFERROR(IF(R184&gt;=VLOOKUP(G184&amp;LOWER(E184), Formeln!$H$2:$K$30, 4, FALSE), "Ehrenurkunde", IF(R184&gt;=VLOOKUP(G184&amp;LOWER(E184), Formeln!$H$2:$K$30, 3, FALSE), "Siegerurkunde", "Teilnehmerurkunde")), "Keine Urkunde"))</f>
        <v>Teilnehmerurkunde</v>
      </c>
      <c r="T184" s="14" t="str">
        <f t="shared" si="10"/>
        <v>NOTE</v>
      </c>
    </row>
    <row r="185" ht="19.5" hidden="1" customHeight="1">
      <c r="A185" s="15" t="str">
        <f>IF(ASV_Daten!A177="","",ASV_Daten!A177)</f>
        <v>R7A</v>
      </c>
      <c r="B185" s="15" t="str">
        <f>IF(ASV_Daten!B177="","",ASV_Daten!B177)</f>
        <v>Pfaff</v>
      </c>
      <c r="C185" s="15" t="str">
        <f>IF(ASV_Daten!C177="","",ASV_Daten!C177)</f>
        <v>Yannis</v>
      </c>
      <c r="D185" s="15">
        <f>IF(ASV_Daten!D177="","",ASV_Daten!D177)</f>
        <v>2012</v>
      </c>
      <c r="E185" s="15" t="str">
        <f>IF(ASV_Daten!E177="","",ASV_Daten!E177)</f>
        <v>M</v>
      </c>
      <c r="F185" s="16" t="str">
        <f t="shared" si="1"/>
        <v>7</v>
      </c>
      <c r="G185" s="17">
        <f t="shared" si="2"/>
        <v>14</v>
      </c>
      <c r="H185" s="25"/>
      <c r="I185" s="19">
        <f t="shared" si="3"/>
        <v>0</v>
      </c>
      <c r="J185" s="20">
        <v>13.0</v>
      </c>
      <c r="K185" s="19">
        <f t="shared" si="4"/>
        <v>235</v>
      </c>
      <c r="L185" s="20">
        <v>3.73</v>
      </c>
      <c r="M185" s="19">
        <f t="shared" si="5"/>
        <v>356</v>
      </c>
      <c r="N185" s="20">
        <v>23.5</v>
      </c>
      <c r="O185" s="19">
        <f t="shared" si="6"/>
        <v>234</v>
      </c>
      <c r="P185" s="19" t="str">
        <f t="shared" si="7"/>
        <v>Punkte M 7-9</v>
      </c>
      <c r="Q185" s="19" t="str">
        <f t="shared" si="8"/>
        <v>Noten-Matrix-Jungen</v>
      </c>
      <c r="R185" s="21">
        <f t="shared" si="9"/>
        <v>825</v>
      </c>
      <c r="S185" s="19" t="str">
        <f>IF(R185=0, "Keine Teilnahme", IFERROR(IF(R185&gt;=VLOOKUP(G185&amp;LOWER(E185), Formeln!$H$2:$K$30, 4, FALSE), "Ehrenurkunde", IF(R185&gt;=VLOOKUP(G185&amp;LOWER(E185), Formeln!$H$2:$K$30, 3, FALSE), "Siegerurkunde", "Teilnehmerurkunde")), "Keine Urkunde"))</f>
        <v>Teilnehmerurkunde</v>
      </c>
      <c r="T185" s="22">
        <f t="shared" si="10"/>
        <v>3.2</v>
      </c>
    </row>
    <row r="186" ht="19.5" hidden="1" customHeight="1">
      <c r="A186" s="7" t="str">
        <f>IF(ASV_Daten!A198="","",ASV_Daten!A198)</f>
        <v>R7B</v>
      </c>
      <c r="B186" s="7" t="str">
        <f>IF(ASV_Daten!B198="","",ASV_Daten!B198)</f>
        <v>Peine</v>
      </c>
      <c r="C186" s="7" t="str">
        <f>IF(ASV_Daten!C198="","",ASV_Daten!C198)</f>
        <v>Alina</v>
      </c>
      <c r="D186" s="7">
        <f>IF(ASV_Daten!D198="","",ASV_Daten!D198)</f>
        <v>2013</v>
      </c>
      <c r="E186" s="7" t="str">
        <f>IF(ASV_Daten!E198="","",ASV_Daten!E198)</f>
        <v>W</v>
      </c>
      <c r="F186" s="8" t="str">
        <f t="shared" si="1"/>
        <v>7</v>
      </c>
      <c r="G186" s="9">
        <f t="shared" si="2"/>
        <v>13</v>
      </c>
      <c r="H186" s="11"/>
      <c r="I186" s="11">
        <f t="shared" si="3"/>
        <v>0</v>
      </c>
      <c r="J186" s="12">
        <v>13.3</v>
      </c>
      <c r="K186" s="11">
        <f t="shared" si="4"/>
        <v>233</v>
      </c>
      <c r="L186" s="12">
        <v>2.93</v>
      </c>
      <c r="M186" s="11">
        <f t="shared" si="5"/>
        <v>297</v>
      </c>
      <c r="N186" s="12">
        <v>14.5</v>
      </c>
      <c r="O186" s="11">
        <f t="shared" si="6"/>
        <v>230</v>
      </c>
      <c r="P186" s="11" t="str">
        <f t="shared" si="7"/>
        <v>Punkte W 7-9</v>
      </c>
      <c r="Q186" s="11" t="str">
        <f t="shared" si="8"/>
        <v>Noten-Matrix-Mädchen</v>
      </c>
      <c r="R186" s="13">
        <f t="shared" si="9"/>
        <v>760</v>
      </c>
      <c r="S186" s="11" t="str">
        <f>IF(R186=0, "Keine Teilnahme", IFERROR(IF(R186&gt;=VLOOKUP(G186&amp;LOWER(E186), Formeln!$H$2:$K$30, 4, FALSE), "Ehrenurkunde", IF(R186&gt;=VLOOKUP(G186&amp;LOWER(E186), Formeln!$H$2:$K$30, 3, FALSE), "Siegerurkunde", "Teilnehmerurkunde")), "Keine Urkunde"))</f>
        <v>Teilnehmerurkunde</v>
      </c>
      <c r="T186" s="14">
        <f t="shared" si="10"/>
        <v>3.2</v>
      </c>
    </row>
    <row r="187" ht="19.5" hidden="1" customHeight="1">
      <c r="A187" s="15" t="str">
        <f>IF(ASV_Daten!A199="","",ASV_Daten!A199)</f>
        <v>R7B</v>
      </c>
      <c r="B187" s="15" t="str">
        <f>IF(ASV_Daten!B199="","",ASV_Daten!B199)</f>
        <v>Pisoi</v>
      </c>
      <c r="C187" s="15" t="str">
        <f>IF(ASV_Daten!C199="","",ASV_Daten!C199)</f>
        <v>Andreri-Alexandru</v>
      </c>
      <c r="D187" s="15">
        <f>IF(ASV_Daten!D199="","",ASV_Daten!D199)</f>
        <v>2013</v>
      </c>
      <c r="E187" s="15" t="str">
        <f>IF(ASV_Daten!E199="","",ASV_Daten!E199)</f>
        <v>M</v>
      </c>
      <c r="F187" s="16" t="str">
        <f t="shared" si="1"/>
        <v>7</v>
      </c>
      <c r="G187" s="17">
        <f t="shared" si="2"/>
        <v>13</v>
      </c>
      <c r="H187" s="18">
        <v>0.16875</v>
      </c>
      <c r="I187" s="19">
        <f t="shared" si="3"/>
        <v>323</v>
      </c>
      <c r="J187" s="19"/>
      <c r="K187" s="19">
        <f t="shared" si="4"/>
        <v>0</v>
      </c>
      <c r="L187" s="20">
        <v>3.69</v>
      </c>
      <c r="M187" s="19">
        <f t="shared" si="5"/>
        <v>351</v>
      </c>
      <c r="N187" s="20">
        <v>25.0</v>
      </c>
      <c r="O187" s="19">
        <f t="shared" si="6"/>
        <v>247</v>
      </c>
      <c r="P187" s="19" t="str">
        <f t="shared" si="7"/>
        <v>Punkte M 7-9</v>
      </c>
      <c r="Q187" s="19" t="str">
        <f t="shared" si="8"/>
        <v>Noten-Matrix-Jungen</v>
      </c>
      <c r="R187" s="21">
        <f t="shared" si="9"/>
        <v>921</v>
      </c>
      <c r="S187" s="19" t="str">
        <f>IF(R187=0, "Keine Teilnahme", IFERROR(IF(R187&gt;=VLOOKUP(G187&amp;LOWER(E187), Formeln!$H$2:$K$30, 4, FALSE), "Ehrenurkunde", IF(R187&gt;=VLOOKUP(G187&amp;LOWER(E187), Formeln!$H$2:$K$30, 3, FALSE), "Siegerurkunde", "Teilnehmerurkunde")), "Keine Urkunde"))</f>
        <v>Siegerurkunde</v>
      </c>
      <c r="T187" s="22">
        <f t="shared" si="10"/>
        <v>2.2</v>
      </c>
    </row>
    <row r="188" ht="19.5" hidden="1" customHeight="1">
      <c r="A188" s="7" t="str">
        <f>IF(ASV_Daten!A191="","",ASV_Daten!A191)</f>
        <v>R7B</v>
      </c>
      <c r="B188" s="7" t="str">
        <f>IF(ASV_Daten!B191="","",ASV_Daten!B191)</f>
        <v>Furtwängler</v>
      </c>
      <c r="C188" s="7" t="str">
        <f>IF(ASV_Daten!C191="","",ASV_Daten!C191)</f>
        <v>Anna</v>
      </c>
      <c r="D188" s="7">
        <f>IF(ASV_Daten!D191="","",ASV_Daten!D191)</f>
        <v>2013</v>
      </c>
      <c r="E188" s="7" t="str">
        <f>IF(ASV_Daten!E191="","",ASV_Daten!E191)</f>
        <v>W</v>
      </c>
      <c r="F188" s="8" t="str">
        <f t="shared" si="1"/>
        <v>7</v>
      </c>
      <c r="G188" s="9">
        <f t="shared" si="2"/>
        <v>13</v>
      </c>
      <c r="H188" s="11"/>
      <c r="I188" s="11">
        <f t="shared" si="3"/>
        <v>0</v>
      </c>
      <c r="J188" s="12">
        <v>13.1</v>
      </c>
      <c r="K188" s="11">
        <f t="shared" si="4"/>
        <v>246</v>
      </c>
      <c r="L188" s="12">
        <v>2.89</v>
      </c>
      <c r="M188" s="11">
        <f t="shared" si="5"/>
        <v>291</v>
      </c>
      <c r="N188" s="12">
        <v>18.0</v>
      </c>
      <c r="O188" s="11">
        <f t="shared" si="6"/>
        <v>272</v>
      </c>
      <c r="P188" s="11" t="str">
        <f t="shared" si="7"/>
        <v>Punkte W 7-9</v>
      </c>
      <c r="Q188" s="11" t="str">
        <f t="shared" si="8"/>
        <v>Noten-Matrix-Mädchen</v>
      </c>
      <c r="R188" s="13">
        <f t="shared" si="9"/>
        <v>809</v>
      </c>
      <c r="S188" s="11" t="str">
        <f>IF(R188=0, "Keine Teilnahme", IFERROR(IF(R188&gt;=VLOOKUP(G188&amp;LOWER(E188), Formeln!$H$2:$K$30, 4, FALSE), "Ehrenurkunde", IF(R188&gt;=VLOOKUP(G188&amp;LOWER(E188), Formeln!$H$2:$K$30, 3, FALSE), "Siegerurkunde", "Teilnehmerurkunde")), "Keine Urkunde"))</f>
        <v>Teilnehmerurkunde</v>
      </c>
      <c r="T188" s="14">
        <f t="shared" si="10"/>
        <v>2.9</v>
      </c>
    </row>
    <row r="189" ht="19.5" hidden="1" customHeight="1">
      <c r="A189" s="15" t="str">
        <f>IF(ASV_Daten!A203="","",ASV_Daten!A203)</f>
        <v>R7B</v>
      </c>
      <c r="B189" s="15" t="str">
        <f>IF(ASV_Daten!B203="","",ASV_Daten!B203)</f>
        <v>Schwarz</v>
      </c>
      <c r="C189" s="15" t="str">
        <f>IF(ASV_Daten!C203="","",ASV_Daten!C203)</f>
        <v>Anna Sofia</v>
      </c>
      <c r="D189" s="15">
        <f>IF(ASV_Daten!D203="","",ASV_Daten!D203)</f>
        <v>2013</v>
      </c>
      <c r="E189" s="15" t="str">
        <f>IF(ASV_Daten!E203="","",ASV_Daten!E203)</f>
        <v>W</v>
      </c>
      <c r="F189" s="16" t="str">
        <f t="shared" si="1"/>
        <v>7</v>
      </c>
      <c r="G189" s="17">
        <f t="shared" si="2"/>
        <v>13</v>
      </c>
      <c r="H189" s="19"/>
      <c r="I189" s="19">
        <f t="shared" si="3"/>
        <v>0</v>
      </c>
      <c r="J189" s="20">
        <v>13.7</v>
      </c>
      <c r="K189" s="19">
        <f t="shared" si="4"/>
        <v>209</v>
      </c>
      <c r="L189" s="20">
        <v>3.29</v>
      </c>
      <c r="M189" s="19">
        <f t="shared" si="5"/>
        <v>346</v>
      </c>
      <c r="N189" s="20">
        <v>19.5</v>
      </c>
      <c r="O189" s="19">
        <f t="shared" si="6"/>
        <v>288</v>
      </c>
      <c r="P189" s="19" t="str">
        <f t="shared" si="7"/>
        <v>Punkte W 7-9</v>
      </c>
      <c r="Q189" s="19" t="str">
        <f t="shared" si="8"/>
        <v>Noten-Matrix-Mädchen</v>
      </c>
      <c r="R189" s="21">
        <f t="shared" si="9"/>
        <v>843</v>
      </c>
      <c r="S189" s="19" t="str">
        <f>IF(R189=0, "Keine Teilnahme", IFERROR(IF(R189&gt;=VLOOKUP(G189&amp;LOWER(E189), Formeln!$H$2:$K$30, 4, FALSE), "Ehrenurkunde", IF(R189&gt;=VLOOKUP(G189&amp;LOWER(E189), Formeln!$H$2:$K$30, 3, FALSE), "Siegerurkunde", "Teilnehmerurkunde")), "Keine Urkunde"))</f>
        <v>Teilnehmerurkunde</v>
      </c>
      <c r="T189" s="22">
        <f t="shared" si="10"/>
        <v>2.6</v>
      </c>
    </row>
    <row r="190" ht="19.5" hidden="1" customHeight="1">
      <c r="A190" s="7" t="str">
        <f>IF(ASV_Daten!A194="","",ASV_Daten!A194)</f>
        <v>R7B</v>
      </c>
      <c r="B190" s="7" t="str">
        <f>IF(ASV_Daten!B194="","",ASV_Daten!B194)</f>
        <v>Heitzmann</v>
      </c>
      <c r="C190" s="7" t="str">
        <f>IF(ASV_Daten!C194="","",ASV_Daten!C194)</f>
        <v>Aylin</v>
      </c>
      <c r="D190" s="7">
        <f>IF(ASV_Daten!D194="","",ASV_Daten!D194)</f>
        <v>2012</v>
      </c>
      <c r="E190" s="7" t="str">
        <f>IF(ASV_Daten!E194="","",ASV_Daten!E194)</f>
        <v>W</v>
      </c>
      <c r="F190" s="8" t="str">
        <f t="shared" si="1"/>
        <v>7</v>
      </c>
      <c r="G190" s="9">
        <f t="shared" si="2"/>
        <v>14</v>
      </c>
      <c r="H190" s="11"/>
      <c r="I190" s="11">
        <f t="shared" si="3"/>
        <v>0</v>
      </c>
      <c r="J190" s="12">
        <v>11.5</v>
      </c>
      <c r="K190" s="11">
        <f t="shared" si="4"/>
        <v>362</v>
      </c>
      <c r="L190" s="12">
        <v>3.41</v>
      </c>
      <c r="M190" s="11">
        <f t="shared" si="5"/>
        <v>362</v>
      </c>
      <c r="N190" s="12">
        <v>24.5</v>
      </c>
      <c r="O190" s="11">
        <f t="shared" si="6"/>
        <v>340</v>
      </c>
      <c r="P190" s="11" t="str">
        <f t="shared" si="7"/>
        <v>Punkte W 7-9</v>
      </c>
      <c r="Q190" s="11" t="str">
        <f t="shared" si="8"/>
        <v>Noten-Matrix-Mädchen</v>
      </c>
      <c r="R190" s="13">
        <f t="shared" si="9"/>
        <v>1064</v>
      </c>
      <c r="S190" s="11" t="str">
        <f>IF(R190=0, "Keine Teilnahme", IFERROR(IF(R190&gt;=VLOOKUP(G190&amp;LOWER(E190), Formeln!$H$2:$K$30, 4, FALSE), "Ehrenurkunde", IF(R190&gt;=VLOOKUP(G190&amp;LOWER(E190), Formeln!$H$2:$K$30, 3, FALSE), "Siegerurkunde", "Teilnehmerurkunde")), "Keine Urkunde"))</f>
        <v>Ehrenurkunde</v>
      </c>
      <c r="T190" s="14">
        <f t="shared" si="10"/>
        <v>1.5</v>
      </c>
    </row>
    <row r="191" ht="19.5" hidden="1" customHeight="1">
      <c r="A191" s="15" t="str">
        <f>IF(ASV_Daten!A185="","",ASV_Daten!A185)</f>
        <v>R7B</v>
      </c>
      <c r="B191" s="15" t="str">
        <f>IF(ASV_Daten!B185="","",ASV_Daten!B185)</f>
        <v>Bailly</v>
      </c>
      <c r="C191" s="15" t="str">
        <f>IF(ASV_Daten!C185="","",ASV_Daten!C185)</f>
        <v>Cedric</v>
      </c>
      <c r="D191" s="15">
        <f>IF(ASV_Daten!D185="","",ASV_Daten!D185)</f>
        <v>2011</v>
      </c>
      <c r="E191" s="15" t="str">
        <f>IF(ASV_Daten!E185="","",ASV_Daten!E185)</f>
        <v>M</v>
      </c>
      <c r="F191" s="16" t="str">
        <f t="shared" si="1"/>
        <v>7</v>
      </c>
      <c r="G191" s="17">
        <f t="shared" si="2"/>
        <v>15</v>
      </c>
      <c r="H191" s="19"/>
      <c r="I191" s="19">
        <f t="shared" si="3"/>
        <v>0</v>
      </c>
      <c r="J191" s="20">
        <v>10.9</v>
      </c>
      <c r="K191" s="19">
        <f t="shared" si="4"/>
        <v>396</v>
      </c>
      <c r="L191" s="20">
        <v>4.05</v>
      </c>
      <c r="M191" s="19">
        <f t="shared" si="5"/>
        <v>393</v>
      </c>
      <c r="N191" s="20">
        <v>37.0</v>
      </c>
      <c r="O191" s="19">
        <f t="shared" si="6"/>
        <v>334</v>
      </c>
      <c r="P191" s="19" t="str">
        <f t="shared" si="7"/>
        <v>Punkte M 7-9</v>
      </c>
      <c r="Q191" s="19" t="str">
        <f t="shared" si="8"/>
        <v>Noten-Matrix-Jungen</v>
      </c>
      <c r="R191" s="21">
        <f t="shared" si="9"/>
        <v>1123</v>
      </c>
      <c r="S191" s="19" t="str">
        <f>IF(R191=0, "Keine Teilnahme", IFERROR(IF(R191&gt;=VLOOKUP(G191&amp;LOWER(E191), Formeln!$H$2:$K$30, 4, FALSE), "Ehrenurkunde", IF(R191&gt;=VLOOKUP(G191&amp;LOWER(E191), Formeln!$H$2:$K$30, 3, FALSE), "Siegerurkunde", "Teilnehmerurkunde")), "Keine Urkunde"))</f>
        <v>Siegerurkunde</v>
      </c>
      <c r="T191" s="22">
        <f t="shared" si="10"/>
        <v>2.1</v>
      </c>
    </row>
    <row r="192" ht="19.5" hidden="1" customHeight="1">
      <c r="A192" s="7" t="str">
        <f>IF(ASV_Daten!A211="","",ASV_Daten!A211)</f>
        <v>R7B</v>
      </c>
      <c r="B192" s="7" t="str">
        <f>IF(ASV_Daten!B211="","",ASV_Daten!B211)</f>
        <v>Winterhalder</v>
      </c>
      <c r="C192" s="7" t="str">
        <f>IF(ASV_Daten!C211="","",ASV_Daten!C211)</f>
        <v>Christopher</v>
      </c>
      <c r="D192" s="7">
        <f>IF(ASV_Daten!D211="","",ASV_Daten!D211)</f>
        <v>2012</v>
      </c>
      <c r="E192" s="7" t="str">
        <f>IF(ASV_Daten!E211="","",ASV_Daten!E211)</f>
        <v>M</v>
      </c>
      <c r="F192" s="8" t="str">
        <f t="shared" si="1"/>
        <v>7</v>
      </c>
      <c r="G192" s="9">
        <f t="shared" si="2"/>
        <v>14</v>
      </c>
      <c r="H192" s="28">
        <v>0.2604166666666667</v>
      </c>
      <c r="I192" s="11">
        <f t="shared" si="3"/>
        <v>84</v>
      </c>
      <c r="J192" s="11"/>
      <c r="K192" s="11">
        <f t="shared" si="4"/>
        <v>0</v>
      </c>
      <c r="L192" s="12">
        <v>2.13</v>
      </c>
      <c r="M192" s="11">
        <f t="shared" si="5"/>
        <v>141</v>
      </c>
      <c r="N192" s="12">
        <v>20.5</v>
      </c>
      <c r="O192" s="11">
        <f t="shared" si="6"/>
        <v>209</v>
      </c>
      <c r="P192" s="11" t="str">
        <f t="shared" si="7"/>
        <v>Punkte M 7-9</v>
      </c>
      <c r="Q192" s="11" t="str">
        <f t="shared" si="8"/>
        <v>Noten-Matrix-Jungen</v>
      </c>
      <c r="R192" s="13">
        <f t="shared" si="9"/>
        <v>434</v>
      </c>
      <c r="S192" s="11" t="str">
        <f>IF(R192=0, "Keine Teilnahme", IFERROR(IF(R192&gt;=VLOOKUP(G192&amp;LOWER(E192), Formeln!$H$2:$K$30, 4, FALSE), "Ehrenurkunde", IF(R192&gt;=VLOOKUP(G192&amp;LOWER(E192), Formeln!$H$2:$K$30, 3, FALSE), "Siegerurkunde", "Teilnehmerurkunde")), "Keine Urkunde"))</f>
        <v>Teilnehmerurkunde</v>
      </c>
      <c r="T192" s="14" t="str">
        <f t="shared" si="10"/>
        <v>NOTE</v>
      </c>
    </row>
    <row r="193" ht="19.5" hidden="1" customHeight="1">
      <c r="A193" s="15" t="str">
        <f>IF(ASV_Daten!A204="","",ASV_Daten!A204)</f>
        <v>R7B</v>
      </c>
      <c r="B193" s="15" t="str">
        <f>IF(ASV_Daten!B204="","",ASV_Daten!B204)</f>
        <v>Schwörer</v>
      </c>
      <c r="C193" s="15" t="str">
        <f>IF(ASV_Daten!C204="","",ASV_Daten!C204)</f>
        <v>Elina</v>
      </c>
      <c r="D193" s="15">
        <f>IF(ASV_Daten!D204="","",ASV_Daten!D204)</f>
        <v>2013</v>
      </c>
      <c r="E193" s="15" t="str">
        <f>IF(ASV_Daten!E204="","",ASV_Daten!E204)</f>
        <v>W</v>
      </c>
      <c r="F193" s="16" t="str">
        <f t="shared" si="1"/>
        <v>7</v>
      </c>
      <c r="G193" s="17">
        <f t="shared" si="2"/>
        <v>13</v>
      </c>
      <c r="H193" s="19"/>
      <c r="I193" s="19">
        <f t="shared" si="3"/>
        <v>0</v>
      </c>
      <c r="J193" s="20">
        <v>13.1</v>
      </c>
      <c r="K193" s="19">
        <f t="shared" si="4"/>
        <v>246</v>
      </c>
      <c r="L193" s="20">
        <v>2.89</v>
      </c>
      <c r="M193" s="19">
        <f t="shared" si="5"/>
        <v>291</v>
      </c>
      <c r="N193" s="20">
        <v>14.5</v>
      </c>
      <c r="O193" s="19">
        <f t="shared" si="6"/>
        <v>230</v>
      </c>
      <c r="P193" s="19" t="str">
        <f t="shared" si="7"/>
        <v>Punkte W 7-9</v>
      </c>
      <c r="Q193" s="19" t="str">
        <f t="shared" si="8"/>
        <v>Noten-Matrix-Mädchen</v>
      </c>
      <c r="R193" s="21">
        <f t="shared" si="9"/>
        <v>767</v>
      </c>
      <c r="S193" s="19" t="str">
        <f>IF(R193=0, "Keine Teilnahme", IFERROR(IF(R193&gt;=VLOOKUP(G193&amp;LOWER(E193), Formeln!$H$2:$K$30, 4, FALSE), "Ehrenurkunde", IF(R193&gt;=VLOOKUP(G193&amp;LOWER(E193), Formeln!$H$2:$K$30, 3, FALSE), "Siegerurkunde", "Teilnehmerurkunde")), "Keine Urkunde"))</f>
        <v>Teilnehmerurkunde</v>
      </c>
      <c r="T193" s="22">
        <f t="shared" si="10"/>
        <v>3.1</v>
      </c>
    </row>
    <row r="194" ht="19.5" hidden="1" customHeight="1">
      <c r="A194" s="7" t="str">
        <f>IF(ASV_Daten!A200="","",ASV_Daten!A200)</f>
        <v>R7B</v>
      </c>
      <c r="B194" s="7" t="str">
        <f>IF(ASV_Daten!B200="","",ASV_Daten!B200)</f>
        <v>Ritter</v>
      </c>
      <c r="C194" s="7" t="str">
        <f>IF(ASV_Daten!C200="","",ASV_Daten!C200)</f>
        <v>Emelie</v>
      </c>
      <c r="D194" s="7">
        <f>IF(ASV_Daten!D200="","",ASV_Daten!D200)</f>
        <v>2012</v>
      </c>
      <c r="E194" s="7" t="str">
        <f>IF(ASV_Daten!E200="","",ASV_Daten!E200)</f>
        <v>W</v>
      </c>
      <c r="F194" s="8" t="str">
        <f t="shared" si="1"/>
        <v>7</v>
      </c>
      <c r="G194" s="9">
        <f t="shared" si="2"/>
        <v>14</v>
      </c>
      <c r="H194" s="11"/>
      <c r="I194" s="11">
        <f t="shared" si="3"/>
        <v>0</v>
      </c>
      <c r="J194" s="12">
        <v>14.2</v>
      </c>
      <c r="K194" s="11">
        <f t="shared" si="4"/>
        <v>181</v>
      </c>
      <c r="L194" s="12">
        <v>2.65</v>
      </c>
      <c r="M194" s="11">
        <f t="shared" si="5"/>
        <v>256</v>
      </c>
      <c r="N194" s="12">
        <v>19.0</v>
      </c>
      <c r="O194" s="11">
        <f t="shared" si="6"/>
        <v>283</v>
      </c>
      <c r="P194" s="11" t="str">
        <f t="shared" si="7"/>
        <v>Punkte W 7-9</v>
      </c>
      <c r="Q194" s="11" t="str">
        <f t="shared" si="8"/>
        <v>Noten-Matrix-Mädchen</v>
      </c>
      <c r="R194" s="13">
        <f t="shared" si="9"/>
        <v>720</v>
      </c>
      <c r="S194" s="11" t="str">
        <f>IF(R194=0, "Keine Teilnahme", IFERROR(IF(R194&gt;=VLOOKUP(G194&amp;LOWER(E194), Formeln!$H$2:$K$30, 4, FALSE), "Ehrenurkunde", IF(R194&gt;=VLOOKUP(G194&amp;LOWER(E194), Formeln!$H$2:$K$30, 3, FALSE), "Siegerurkunde", "Teilnehmerurkunde")), "Keine Urkunde"))</f>
        <v>Teilnehmerurkunde</v>
      </c>
      <c r="T194" s="14">
        <f t="shared" si="10"/>
        <v>3.6</v>
      </c>
    </row>
    <row r="195" ht="19.5" hidden="1" customHeight="1">
      <c r="A195" s="15" t="str">
        <f>IF(ASV_Daten!A190="","",ASV_Daten!A190)</f>
        <v>R7B</v>
      </c>
      <c r="B195" s="15" t="str">
        <f>IF(ASV_Daten!B190="","",ASV_Daten!B190)</f>
        <v>Frisch</v>
      </c>
      <c r="C195" s="15" t="str">
        <f>IF(ASV_Daten!C190="","",ASV_Daten!C190)</f>
        <v>Emma</v>
      </c>
      <c r="D195" s="15">
        <f>IF(ASV_Daten!D190="","",ASV_Daten!D190)</f>
        <v>2012</v>
      </c>
      <c r="E195" s="15" t="str">
        <f>IF(ASV_Daten!E190="","",ASV_Daten!E190)</f>
        <v>W</v>
      </c>
      <c r="F195" s="16" t="str">
        <f t="shared" si="1"/>
        <v>7</v>
      </c>
      <c r="G195" s="17">
        <f t="shared" si="2"/>
        <v>14</v>
      </c>
      <c r="H195" s="19"/>
      <c r="I195" s="19">
        <f t="shared" si="3"/>
        <v>0</v>
      </c>
      <c r="J195" s="20">
        <v>12.9</v>
      </c>
      <c r="K195" s="19">
        <f t="shared" si="4"/>
        <v>259</v>
      </c>
      <c r="L195" s="20">
        <v>3.13</v>
      </c>
      <c r="M195" s="19">
        <f t="shared" si="5"/>
        <v>324</v>
      </c>
      <c r="N195" s="20">
        <v>13.5</v>
      </c>
      <c r="O195" s="19">
        <f t="shared" si="6"/>
        <v>217</v>
      </c>
      <c r="P195" s="19" t="str">
        <f t="shared" si="7"/>
        <v>Punkte W 7-9</v>
      </c>
      <c r="Q195" s="19" t="str">
        <f t="shared" si="8"/>
        <v>Noten-Matrix-Mädchen</v>
      </c>
      <c r="R195" s="21">
        <f t="shared" si="9"/>
        <v>800</v>
      </c>
      <c r="S195" s="19" t="str">
        <f>IF(R195=0, "Keine Teilnahme", IFERROR(IF(R195&gt;=VLOOKUP(G195&amp;LOWER(E195), Formeln!$H$2:$K$30, 4, FALSE), "Ehrenurkunde", IF(R195&gt;=VLOOKUP(G195&amp;LOWER(E195), Formeln!$H$2:$K$30, 3, FALSE), "Siegerurkunde", "Teilnehmerurkunde")), "Keine Urkunde"))</f>
        <v>Teilnehmerurkunde</v>
      </c>
      <c r="T195" s="22">
        <f t="shared" si="10"/>
        <v>3.1</v>
      </c>
    </row>
    <row r="196" ht="19.5" hidden="1" customHeight="1">
      <c r="A196" s="7" t="str">
        <f>IF(ASV_Daten!A205="","",ASV_Daten!A205)</f>
        <v>R7B</v>
      </c>
      <c r="B196" s="7" t="str">
        <f>IF(ASV_Daten!B205="","",ASV_Daten!B205)</f>
        <v>Stahl</v>
      </c>
      <c r="C196" s="7" t="str">
        <f>IF(ASV_Daten!C205="","",ASV_Daten!C205)</f>
        <v>Joshua</v>
      </c>
      <c r="D196" s="7">
        <f>IF(ASV_Daten!D205="","",ASV_Daten!D205)</f>
        <v>2012</v>
      </c>
      <c r="E196" s="7" t="str">
        <f>IF(ASV_Daten!E205="","",ASV_Daten!E205)</f>
        <v>M</v>
      </c>
      <c r="F196" s="8" t="str">
        <f t="shared" si="1"/>
        <v>7</v>
      </c>
      <c r="G196" s="9">
        <f t="shared" si="2"/>
        <v>14</v>
      </c>
      <c r="H196" s="11"/>
      <c r="I196" s="11">
        <f t="shared" si="3"/>
        <v>0</v>
      </c>
      <c r="J196" s="12">
        <v>12.6</v>
      </c>
      <c r="K196" s="11">
        <f t="shared" si="4"/>
        <v>262</v>
      </c>
      <c r="L196" s="12">
        <v>3.81</v>
      </c>
      <c r="M196" s="11">
        <f t="shared" si="5"/>
        <v>366</v>
      </c>
      <c r="N196" s="12">
        <v>28.0</v>
      </c>
      <c r="O196" s="11">
        <f t="shared" si="6"/>
        <v>270</v>
      </c>
      <c r="P196" s="11" t="str">
        <f t="shared" si="7"/>
        <v>Punkte M 7-9</v>
      </c>
      <c r="Q196" s="11" t="str">
        <f t="shared" si="8"/>
        <v>Noten-Matrix-Jungen</v>
      </c>
      <c r="R196" s="13">
        <f t="shared" si="9"/>
        <v>898</v>
      </c>
      <c r="S196" s="11" t="str">
        <f>IF(R196=0, "Keine Teilnahme", IFERROR(IF(R196&gt;=VLOOKUP(G196&amp;LOWER(E196), Formeln!$H$2:$K$30, 4, FALSE), "Ehrenurkunde", IF(R196&gt;=VLOOKUP(G196&amp;LOWER(E196), Formeln!$H$2:$K$30, 3, FALSE), "Siegerurkunde", "Teilnehmerurkunde")), "Keine Urkunde"))</f>
        <v>Teilnehmerurkunde</v>
      </c>
      <c r="T196" s="14">
        <f t="shared" si="10"/>
        <v>2.8</v>
      </c>
    </row>
    <row r="197" ht="19.5" hidden="1" customHeight="1">
      <c r="A197" s="15" t="str">
        <f>IF(ASV_Daten!A202="","",ASV_Daten!A202)</f>
        <v>R7B</v>
      </c>
      <c r="B197" s="15" t="str">
        <f>IF(ASV_Daten!B202="","",ASV_Daten!B202)</f>
        <v>Schwär</v>
      </c>
      <c r="C197" s="15" t="str">
        <f>IF(ASV_Daten!C202="","",ASV_Daten!C202)</f>
        <v>Julia</v>
      </c>
      <c r="D197" s="15">
        <f>IF(ASV_Daten!D202="","",ASV_Daten!D202)</f>
        <v>2012</v>
      </c>
      <c r="E197" s="15" t="str">
        <f>IF(ASV_Daten!E202="","",ASV_Daten!E202)</f>
        <v>W</v>
      </c>
      <c r="F197" s="16" t="str">
        <f t="shared" si="1"/>
        <v>7</v>
      </c>
      <c r="G197" s="17">
        <f t="shared" si="2"/>
        <v>14</v>
      </c>
      <c r="H197" s="25"/>
      <c r="I197" s="19">
        <f t="shared" si="3"/>
        <v>0</v>
      </c>
      <c r="J197" s="20">
        <v>12.5</v>
      </c>
      <c r="K197" s="19">
        <f t="shared" si="4"/>
        <v>286</v>
      </c>
      <c r="L197" s="20">
        <v>3.49</v>
      </c>
      <c r="M197" s="19">
        <f t="shared" si="5"/>
        <v>372</v>
      </c>
      <c r="N197" s="20">
        <v>19.0</v>
      </c>
      <c r="O197" s="19">
        <f t="shared" si="6"/>
        <v>283</v>
      </c>
      <c r="P197" s="19" t="str">
        <f t="shared" si="7"/>
        <v>Punkte W 7-9</v>
      </c>
      <c r="Q197" s="19" t="str">
        <f t="shared" si="8"/>
        <v>Noten-Matrix-Mädchen</v>
      </c>
      <c r="R197" s="21">
        <f t="shared" si="9"/>
        <v>941</v>
      </c>
      <c r="S197" s="19" t="str">
        <f>IF(R197=0, "Keine Teilnahme", IFERROR(IF(R197&gt;=VLOOKUP(G197&amp;LOWER(E197), Formeln!$H$2:$K$30, 4, FALSE), "Ehrenurkunde", IF(R197&gt;=VLOOKUP(G197&amp;LOWER(E197), Formeln!$H$2:$K$30, 3, FALSE), "Siegerurkunde", "Teilnehmerurkunde")), "Keine Urkunde"))</f>
        <v>Siegerurkunde</v>
      </c>
      <c r="T197" s="22">
        <f t="shared" si="10"/>
        <v>2.1</v>
      </c>
    </row>
    <row r="198" ht="19.5" hidden="1" customHeight="1">
      <c r="A198" s="7" t="str">
        <f>IF(ASV_Daten!A186="","",ASV_Daten!A186)</f>
        <v>R7B</v>
      </c>
      <c r="B198" s="7" t="str">
        <f>IF(ASV_Daten!B186="","",ASV_Daten!B186)</f>
        <v>Breuer</v>
      </c>
      <c r="C198" s="7" t="str">
        <f>IF(ASV_Daten!C186="","",ASV_Daten!C186)</f>
        <v>Kiana</v>
      </c>
      <c r="D198" s="7">
        <f>IF(ASV_Daten!D186="","",ASV_Daten!D186)</f>
        <v>2013</v>
      </c>
      <c r="E198" s="7" t="str">
        <f>IF(ASV_Daten!E186="","",ASV_Daten!E186)</f>
        <v>W</v>
      </c>
      <c r="F198" s="8" t="str">
        <f t="shared" si="1"/>
        <v>7</v>
      </c>
      <c r="G198" s="9">
        <f t="shared" si="2"/>
        <v>13</v>
      </c>
      <c r="H198" s="11"/>
      <c r="I198" s="11">
        <f t="shared" si="3"/>
        <v>0</v>
      </c>
      <c r="J198" s="12">
        <v>12.1</v>
      </c>
      <c r="K198" s="11">
        <f t="shared" si="4"/>
        <v>315</v>
      </c>
      <c r="L198" s="12">
        <v>3.17</v>
      </c>
      <c r="M198" s="11">
        <f t="shared" si="5"/>
        <v>330</v>
      </c>
      <c r="N198" s="12">
        <v>12.0</v>
      </c>
      <c r="O198" s="11">
        <f t="shared" si="6"/>
        <v>197</v>
      </c>
      <c r="P198" s="11" t="str">
        <f t="shared" si="7"/>
        <v>Punkte W 7-9</v>
      </c>
      <c r="Q198" s="11" t="str">
        <f t="shared" si="8"/>
        <v>Noten-Matrix-Mädchen</v>
      </c>
      <c r="R198" s="13">
        <f t="shared" si="9"/>
        <v>842</v>
      </c>
      <c r="S198" s="11" t="str">
        <f>IF(R198=0, "Keine Teilnahme", IFERROR(IF(R198&gt;=VLOOKUP(G198&amp;LOWER(E198), Formeln!$H$2:$K$30, 4, FALSE), "Ehrenurkunde", IF(R198&gt;=VLOOKUP(G198&amp;LOWER(E198), Formeln!$H$2:$K$30, 3, FALSE), "Siegerurkunde", "Teilnehmerurkunde")), "Keine Urkunde"))</f>
        <v>Teilnehmerurkunde</v>
      </c>
      <c r="T198" s="14">
        <f t="shared" si="10"/>
        <v>2.6</v>
      </c>
    </row>
    <row r="199" ht="19.5" hidden="1" customHeight="1">
      <c r="A199" s="15" t="str">
        <f>IF(ASV_Daten!A195="","",ASV_Daten!A195)</f>
        <v>R7B</v>
      </c>
      <c r="B199" s="15" t="str">
        <f>IF(ASV_Daten!B195="","",ASV_Daten!B195)</f>
        <v>Ketterer</v>
      </c>
      <c r="C199" s="15" t="str">
        <f>IF(ASV_Daten!C195="","",ASV_Daten!C195)</f>
        <v>Laura</v>
      </c>
      <c r="D199" s="15">
        <f>IF(ASV_Daten!D195="","",ASV_Daten!D195)</f>
        <v>2012</v>
      </c>
      <c r="E199" s="15" t="str">
        <f>IF(ASV_Daten!E195="","",ASV_Daten!E195)</f>
        <v>W</v>
      </c>
      <c r="F199" s="16" t="str">
        <f t="shared" si="1"/>
        <v>7</v>
      </c>
      <c r="G199" s="17">
        <f t="shared" si="2"/>
        <v>14</v>
      </c>
      <c r="H199" s="19"/>
      <c r="I199" s="19">
        <f t="shared" si="3"/>
        <v>0</v>
      </c>
      <c r="J199" s="20">
        <v>12.2</v>
      </c>
      <c r="K199" s="19">
        <f t="shared" si="4"/>
        <v>307</v>
      </c>
      <c r="L199" s="20">
        <v>3.65</v>
      </c>
      <c r="M199" s="19">
        <f t="shared" si="5"/>
        <v>392</v>
      </c>
      <c r="N199" s="20">
        <v>21.0</v>
      </c>
      <c r="O199" s="19">
        <f t="shared" si="6"/>
        <v>304</v>
      </c>
      <c r="P199" s="19" t="str">
        <f t="shared" si="7"/>
        <v>Punkte W 7-9</v>
      </c>
      <c r="Q199" s="19" t="str">
        <f t="shared" si="8"/>
        <v>Noten-Matrix-Mädchen</v>
      </c>
      <c r="R199" s="21">
        <f t="shared" si="9"/>
        <v>1003</v>
      </c>
      <c r="S199" s="19" t="str">
        <f>IF(R199=0, "Keine Teilnahme", IFERROR(IF(R199&gt;=VLOOKUP(G199&amp;LOWER(E199), Formeln!$H$2:$K$30, 4, FALSE), "Ehrenurkunde", IF(R199&gt;=VLOOKUP(G199&amp;LOWER(E199), Formeln!$H$2:$K$30, 3, FALSE), "Siegerurkunde", "Teilnehmerurkunde")), "Keine Urkunde"))</f>
        <v>Siegerurkunde</v>
      </c>
      <c r="T199" s="22">
        <f t="shared" si="10"/>
        <v>1.8</v>
      </c>
    </row>
    <row r="200" ht="19.5" hidden="1" customHeight="1">
      <c r="A200" s="7" t="str">
        <f>IF(ASV_Daten!A196="","",ASV_Daten!A196)</f>
        <v>R7B</v>
      </c>
      <c r="B200" s="7" t="str">
        <f>IF(ASV_Daten!B196="","",ASV_Daten!B196)</f>
        <v>Kramer</v>
      </c>
      <c r="C200" s="7" t="str">
        <f>IF(ASV_Daten!C196="","",ASV_Daten!C196)</f>
        <v>Lea</v>
      </c>
      <c r="D200" s="7">
        <f>IF(ASV_Daten!D196="","",ASV_Daten!D196)</f>
        <v>2013</v>
      </c>
      <c r="E200" s="7" t="str">
        <f>IF(ASV_Daten!E196="","",ASV_Daten!E196)</f>
        <v>W</v>
      </c>
      <c r="F200" s="8" t="str">
        <f t="shared" si="1"/>
        <v>7</v>
      </c>
      <c r="G200" s="9">
        <f t="shared" si="2"/>
        <v>13</v>
      </c>
      <c r="H200" s="10">
        <v>0.11527777777777778</v>
      </c>
      <c r="I200" s="11">
        <f t="shared" si="3"/>
        <v>432</v>
      </c>
      <c r="J200" s="12">
        <v>13.6</v>
      </c>
      <c r="K200" s="11">
        <f t="shared" si="4"/>
        <v>215</v>
      </c>
      <c r="L200" s="12">
        <v>2.61</v>
      </c>
      <c r="M200" s="11">
        <f t="shared" si="5"/>
        <v>250</v>
      </c>
      <c r="N200" s="12">
        <v>19.5</v>
      </c>
      <c r="O200" s="11">
        <f t="shared" si="6"/>
        <v>288</v>
      </c>
      <c r="P200" s="11" t="str">
        <f t="shared" si="7"/>
        <v>Punkte W 7-9</v>
      </c>
      <c r="Q200" s="11" t="str">
        <f t="shared" si="8"/>
        <v>Noten-Matrix-Mädchen</v>
      </c>
      <c r="R200" s="13">
        <f t="shared" si="9"/>
        <v>970</v>
      </c>
      <c r="S200" s="11" t="str">
        <f>IF(R200=0, "Keine Teilnahme", IFERROR(IF(R200&gt;=VLOOKUP(G200&amp;LOWER(E200), Formeln!$H$2:$K$30, 4, FALSE), "Ehrenurkunde", IF(R200&gt;=VLOOKUP(G200&amp;LOWER(E200), Formeln!$H$2:$K$30, 3, FALSE), "Siegerurkunde", "Teilnehmerurkunde")), "Keine Urkunde"))</f>
        <v>Siegerurkunde</v>
      </c>
      <c r="T200" s="14">
        <f t="shared" si="10"/>
        <v>1.8</v>
      </c>
    </row>
    <row r="201" ht="19.5" hidden="1" customHeight="1">
      <c r="A201" s="15" t="str">
        <f>IF(ASV_Daten!A188="","",ASV_Daten!A188)</f>
        <v>R7B</v>
      </c>
      <c r="B201" s="15" t="str">
        <f>IF(ASV_Daten!B188="","",ASV_Daten!B188)</f>
        <v>Dura</v>
      </c>
      <c r="C201" s="15" t="str">
        <f>IF(ASV_Daten!C188="","",ASV_Daten!C188)</f>
        <v>Lilian</v>
      </c>
      <c r="D201" s="15">
        <f>IF(ASV_Daten!D188="","",ASV_Daten!D188)</f>
        <v>2013</v>
      </c>
      <c r="E201" s="15" t="str">
        <f>IF(ASV_Daten!E188="","",ASV_Daten!E188)</f>
        <v>W</v>
      </c>
      <c r="F201" s="16" t="str">
        <f t="shared" si="1"/>
        <v>7</v>
      </c>
      <c r="G201" s="17">
        <f t="shared" si="2"/>
        <v>13</v>
      </c>
      <c r="H201" s="19"/>
      <c r="I201" s="19">
        <f t="shared" si="3"/>
        <v>0</v>
      </c>
      <c r="J201" s="20">
        <v>11.6</v>
      </c>
      <c r="K201" s="19">
        <f t="shared" si="4"/>
        <v>354</v>
      </c>
      <c r="L201" s="20">
        <v>3.69</v>
      </c>
      <c r="M201" s="19">
        <f t="shared" si="5"/>
        <v>397</v>
      </c>
      <c r="N201" s="20">
        <v>18.0</v>
      </c>
      <c r="O201" s="19">
        <f t="shared" si="6"/>
        <v>272</v>
      </c>
      <c r="P201" s="19" t="str">
        <f t="shared" si="7"/>
        <v>Punkte W 7-9</v>
      </c>
      <c r="Q201" s="19" t="str">
        <f t="shared" si="8"/>
        <v>Noten-Matrix-Mädchen</v>
      </c>
      <c r="R201" s="21">
        <f t="shared" si="9"/>
        <v>1023</v>
      </c>
      <c r="S201" s="19" t="str">
        <f>IF(R201=0, "Keine Teilnahme", IFERROR(IF(R201&gt;=VLOOKUP(G201&amp;LOWER(E201), Formeln!$H$2:$K$30, 4, FALSE), "Ehrenurkunde", IF(R201&gt;=VLOOKUP(G201&amp;LOWER(E201), Formeln!$H$2:$K$30, 3, FALSE), "Siegerurkunde", "Teilnehmerurkunde")), "Keine Urkunde"))</f>
        <v>Siegerurkunde</v>
      </c>
      <c r="T201" s="22">
        <f t="shared" si="10"/>
        <v>1.6</v>
      </c>
    </row>
    <row r="202" ht="19.5" hidden="1" customHeight="1">
      <c r="A202" s="7" t="str">
        <f>IF(ASV_Daten!A193="","",ASV_Daten!A193)</f>
        <v>R7B</v>
      </c>
      <c r="B202" s="7" t="str">
        <f>IF(ASV_Daten!B193="","",ASV_Daten!B193)</f>
        <v>Heine</v>
      </c>
      <c r="C202" s="7" t="str">
        <f>IF(ASV_Daten!C193="","",ASV_Daten!C193)</f>
        <v>Linda</v>
      </c>
      <c r="D202" s="7">
        <f>IF(ASV_Daten!D193="","",ASV_Daten!D193)</f>
        <v>2013</v>
      </c>
      <c r="E202" s="7" t="str">
        <f>IF(ASV_Daten!E193="","",ASV_Daten!E193)</f>
        <v>W</v>
      </c>
      <c r="F202" s="8" t="str">
        <f t="shared" si="1"/>
        <v>7</v>
      </c>
      <c r="G202" s="9">
        <f t="shared" si="2"/>
        <v>13</v>
      </c>
      <c r="H202" s="11"/>
      <c r="I202" s="11">
        <f t="shared" si="3"/>
        <v>0</v>
      </c>
      <c r="J202" s="12">
        <v>12.1</v>
      </c>
      <c r="K202" s="11">
        <f t="shared" si="4"/>
        <v>315</v>
      </c>
      <c r="L202" s="12">
        <v>3.61</v>
      </c>
      <c r="M202" s="11">
        <f t="shared" si="5"/>
        <v>387</v>
      </c>
      <c r="N202" s="12">
        <v>20.0</v>
      </c>
      <c r="O202" s="11">
        <f t="shared" si="6"/>
        <v>294</v>
      </c>
      <c r="P202" s="11" t="str">
        <f t="shared" si="7"/>
        <v>Punkte W 7-9</v>
      </c>
      <c r="Q202" s="11" t="str">
        <f t="shared" si="8"/>
        <v>Noten-Matrix-Mädchen</v>
      </c>
      <c r="R202" s="13">
        <f t="shared" si="9"/>
        <v>996</v>
      </c>
      <c r="S202" s="11" t="str">
        <f>IF(R202=0, "Keine Teilnahme", IFERROR(IF(R202&gt;=VLOOKUP(G202&amp;LOWER(E202), Formeln!$H$2:$K$30, 4, FALSE), "Ehrenurkunde", IF(R202&gt;=VLOOKUP(G202&amp;LOWER(E202), Formeln!$H$2:$K$30, 3, FALSE), "Siegerurkunde", "Teilnehmerurkunde")), "Keine Urkunde"))</f>
        <v>Siegerurkunde</v>
      </c>
      <c r="T202" s="14">
        <f t="shared" si="10"/>
        <v>1.7</v>
      </c>
    </row>
    <row r="203" ht="19.5" hidden="1" customHeight="1">
      <c r="A203" s="15" t="str">
        <f>IF(ASV_Daten!A192="","",ASV_Daten!A192)</f>
        <v>R7B</v>
      </c>
      <c r="B203" s="15" t="str">
        <f>IF(ASV_Daten!B192="","",ASV_Daten!B192)</f>
        <v>Hättich</v>
      </c>
      <c r="C203" s="15" t="str">
        <f>IF(ASV_Daten!C192="","",ASV_Daten!C192)</f>
        <v>Louis</v>
      </c>
      <c r="D203" s="15">
        <f>IF(ASV_Daten!D192="","",ASV_Daten!D192)</f>
        <v>2012</v>
      </c>
      <c r="E203" s="15" t="str">
        <f>IF(ASV_Daten!E192="","",ASV_Daten!E192)</f>
        <v>M</v>
      </c>
      <c r="F203" s="16" t="str">
        <f t="shared" si="1"/>
        <v>7</v>
      </c>
      <c r="G203" s="17">
        <f t="shared" si="2"/>
        <v>14</v>
      </c>
      <c r="H203" s="18">
        <v>0.2</v>
      </c>
      <c r="I203" s="19">
        <f t="shared" si="3"/>
        <v>219</v>
      </c>
      <c r="J203" s="19"/>
      <c r="K203" s="19">
        <f t="shared" si="4"/>
        <v>0</v>
      </c>
      <c r="L203" s="20">
        <v>3.89</v>
      </c>
      <c r="M203" s="19">
        <f t="shared" si="5"/>
        <v>375</v>
      </c>
      <c r="N203" s="20">
        <v>34.5</v>
      </c>
      <c r="O203" s="19">
        <f t="shared" si="6"/>
        <v>317</v>
      </c>
      <c r="P203" s="19" t="str">
        <f t="shared" si="7"/>
        <v>Punkte M 7-9</v>
      </c>
      <c r="Q203" s="19" t="str">
        <f t="shared" si="8"/>
        <v>Noten-Matrix-Jungen</v>
      </c>
      <c r="R203" s="21">
        <f t="shared" si="9"/>
        <v>911</v>
      </c>
      <c r="S203" s="19" t="str">
        <f>IF(R203=0, "Keine Teilnahme", IFERROR(IF(R203&gt;=VLOOKUP(G203&amp;LOWER(E203), Formeln!$H$2:$K$30, 4, FALSE), "Ehrenurkunde", IF(R203&gt;=VLOOKUP(G203&amp;LOWER(E203), Formeln!$H$2:$K$30, 3, FALSE), "Siegerurkunde", "Teilnehmerurkunde")), "Keine Urkunde"))</f>
        <v>Siegerurkunde</v>
      </c>
      <c r="T203" s="22">
        <f t="shared" si="10"/>
        <v>2.7</v>
      </c>
    </row>
    <row r="204" ht="19.5" hidden="1" customHeight="1">
      <c r="A204" s="7" t="str">
        <f>IF(ASV_Daten!A189="","",ASV_Daten!A189)</f>
        <v>R7B</v>
      </c>
      <c r="B204" s="7" t="str">
        <f>IF(ASV_Daten!B189="","",ASV_Daten!B189)</f>
        <v>Fries-Beckmann</v>
      </c>
      <c r="C204" s="7" t="str">
        <f>IF(ASV_Daten!C189="","",ASV_Daten!C189)</f>
        <v>Lu</v>
      </c>
      <c r="D204" s="7">
        <f>IF(ASV_Daten!D189="","",ASV_Daten!D189)</f>
        <v>2013</v>
      </c>
      <c r="E204" s="7" t="str">
        <f>IF(ASV_Daten!E189="","",ASV_Daten!E189)</f>
        <v>W</v>
      </c>
      <c r="F204" s="8" t="str">
        <f t="shared" si="1"/>
        <v>7</v>
      </c>
      <c r="G204" s="9">
        <f t="shared" si="2"/>
        <v>13</v>
      </c>
      <c r="H204" s="11"/>
      <c r="I204" s="11">
        <f t="shared" si="3"/>
        <v>0</v>
      </c>
      <c r="J204" s="12">
        <v>11.7</v>
      </c>
      <c r="K204" s="11">
        <f t="shared" si="4"/>
        <v>345</v>
      </c>
      <c r="L204" s="12">
        <v>3.33</v>
      </c>
      <c r="M204" s="11">
        <f t="shared" si="5"/>
        <v>351</v>
      </c>
      <c r="N204" s="12">
        <v>31.5</v>
      </c>
      <c r="O204" s="11">
        <f t="shared" si="6"/>
        <v>404</v>
      </c>
      <c r="P204" s="11" t="str">
        <f t="shared" si="7"/>
        <v>Punkte W 7-9</v>
      </c>
      <c r="Q204" s="11" t="str">
        <f t="shared" si="8"/>
        <v>Noten-Matrix-Mädchen</v>
      </c>
      <c r="R204" s="13">
        <f t="shared" si="9"/>
        <v>1100</v>
      </c>
      <c r="S204" s="11" t="str">
        <f>IF(R204=0, "Keine Teilnahme", IFERROR(IF(R204&gt;=VLOOKUP(G204&amp;LOWER(E204), Formeln!$H$2:$K$30, 4, FALSE), "Ehrenurkunde", IF(R204&gt;=VLOOKUP(G204&amp;LOWER(E204), Formeln!$H$2:$K$30, 3, FALSE), "Siegerurkunde", "Teilnehmerurkunde")), "Keine Urkunde"))</f>
        <v>Ehrenurkunde</v>
      </c>
      <c r="T204" s="14">
        <f t="shared" si="10"/>
        <v>1.2</v>
      </c>
    </row>
    <row r="205" ht="19.5" hidden="1" customHeight="1">
      <c r="A205" s="15" t="str">
        <f>IF(ASV_Daten!A197="","",ASV_Daten!A197)</f>
        <v>R7B</v>
      </c>
      <c r="B205" s="15" t="str">
        <f>IF(ASV_Daten!B197="","",ASV_Daten!B197)</f>
        <v>Lipphardt</v>
      </c>
      <c r="C205" s="15" t="str">
        <f>IF(ASV_Daten!C197="","",ASV_Daten!C197)</f>
        <v>Lukas</v>
      </c>
      <c r="D205" s="15">
        <f>IF(ASV_Daten!D197="","",ASV_Daten!D197)</f>
        <v>2012</v>
      </c>
      <c r="E205" s="15" t="str">
        <f>IF(ASV_Daten!E197="","",ASV_Daten!E197)</f>
        <v>M</v>
      </c>
      <c r="F205" s="16" t="str">
        <f t="shared" si="1"/>
        <v>7</v>
      </c>
      <c r="G205" s="17">
        <f t="shared" si="2"/>
        <v>14</v>
      </c>
      <c r="H205" s="26">
        <v>0.16527777777777777</v>
      </c>
      <c r="I205" s="19">
        <f t="shared" si="3"/>
        <v>340</v>
      </c>
      <c r="J205" s="19"/>
      <c r="K205" s="19">
        <f t="shared" si="4"/>
        <v>0</v>
      </c>
      <c r="L205" s="20">
        <v>4.45</v>
      </c>
      <c r="M205" s="19">
        <f t="shared" si="5"/>
        <v>438</v>
      </c>
      <c r="N205" s="20">
        <v>31.5</v>
      </c>
      <c r="O205" s="19">
        <f t="shared" si="6"/>
        <v>296</v>
      </c>
      <c r="P205" s="19" t="str">
        <f t="shared" si="7"/>
        <v>Punkte M 7-9</v>
      </c>
      <c r="Q205" s="19" t="str">
        <f t="shared" si="8"/>
        <v>Noten-Matrix-Jungen</v>
      </c>
      <c r="R205" s="21">
        <f t="shared" si="9"/>
        <v>1074</v>
      </c>
      <c r="S205" s="19" t="str">
        <f>IF(R205=0, "Keine Teilnahme", IFERROR(IF(R205&gt;=VLOOKUP(G205&amp;LOWER(E205), Formeln!$H$2:$K$30, 4, FALSE), "Ehrenurkunde", IF(R205&gt;=VLOOKUP(G205&amp;LOWER(E205), Formeln!$H$2:$K$30, 3, FALSE), "Siegerurkunde", "Teilnehmerurkunde")), "Keine Urkunde"))</f>
        <v>Siegerurkunde</v>
      </c>
      <c r="T205" s="22">
        <f t="shared" si="10"/>
        <v>1.8</v>
      </c>
    </row>
    <row r="206" ht="19.5" hidden="1" customHeight="1">
      <c r="A206" s="7" t="str">
        <f>IF(ASV_Daten!A206="","",ASV_Daten!A206)</f>
        <v>R7B</v>
      </c>
      <c r="B206" s="7" t="str">
        <f>IF(ASV_Daten!B206="","",ASV_Daten!B206)</f>
        <v>Uetz</v>
      </c>
      <c r="C206" s="7" t="str">
        <f>IF(ASV_Daten!C206="","",ASV_Daten!C206)</f>
        <v>Marvin</v>
      </c>
      <c r="D206" s="7">
        <f>IF(ASV_Daten!D206="","",ASV_Daten!D206)</f>
        <v>2013</v>
      </c>
      <c r="E206" s="7" t="str">
        <f>IF(ASV_Daten!E206="","",ASV_Daten!E206)</f>
        <v>M</v>
      </c>
      <c r="F206" s="8" t="str">
        <f t="shared" si="1"/>
        <v>7</v>
      </c>
      <c r="G206" s="9">
        <f t="shared" si="2"/>
        <v>13</v>
      </c>
      <c r="H206" s="11"/>
      <c r="I206" s="11">
        <f t="shared" si="3"/>
        <v>0</v>
      </c>
      <c r="J206" s="12">
        <v>11.2</v>
      </c>
      <c r="K206" s="11">
        <f t="shared" si="4"/>
        <v>369</v>
      </c>
      <c r="L206" s="12">
        <v>4.21</v>
      </c>
      <c r="M206" s="11">
        <f t="shared" si="5"/>
        <v>411</v>
      </c>
      <c r="N206" s="12">
        <v>40.5</v>
      </c>
      <c r="O206" s="11">
        <f t="shared" si="6"/>
        <v>357</v>
      </c>
      <c r="P206" s="11" t="str">
        <f t="shared" si="7"/>
        <v>Punkte M 7-9</v>
      </c>
      <c r="Q206" s="11" t="str">
        <f t="shared" si="8"/>
        <v>Noten-Matrix-Jungen</v>
      </c>
      <c r="R206" s="13">
        <f t="shared" si="9"/>
        <v>1137</v>
      </c>
      <c r="S206" s="11" t="str">
        <f>IF(R206=0, "Keine Teilnahme", IFERROR(IF(R206&gt;=VLOOKUP(G206&amp;LOWER(E206), Formeln!$H$2:$K$30, 4, FALSE), "Ehrenurkunde", IF(R206&gt;=VLOOKUP(G206&amp;LOWER(E206), Formeln!$H$2:$K$30, 3, FALSE), "Siegerurkunde", "Teilnehmerurkunde")), "Keine Urkunde"))</f>
        <v>Ehrenurkunde</v>
      </c>
      <c r="T206" s="14">
        <f t="shared" si="10"/>
        <v>1.1</v>
      </c>
    </row>
    <row r="207" ht="19.5" hidden="1" customHeight="1">
      <c r="A207" s="15" t="str">
        <f>IF(ASV_Daten!A208="","",ASV_Daten!A208)</f>
        <v>R7B</v>
      </c>
      <c r="B207" s="15" t="str">
        <f>IF(ASV_Daten!B208="","",ASV_Daten!B208)</f>
        <v>Waldvogel</v>
      </c>
      <c r="C207" s="15" t="str">
        <f>IF(ASV_Daten!C208="","",ASV_Daten!C208)</f>
        <v>Mia</v>
      </c>
      <c r="D207" s="15">
        <f>IF(ASV_Daten!D208="","",ASV_Daten!D208)</f>
        <v>2013</v>
      </c>
      <c r="E207" s="15" t="str">
        <f>IF(ASV_Daten!E208="","",ASV_Daten!E208)</f>
        <v>W</v>
      </c>
      <c r="F207" s="16" t="str">
        <f t="shared" si="1"/>
        <v>7</v>
      </c>
      <c r="G207" s="17">
        <f t="shared" si="2"/>
        <v>13</v>
      </c>
      <c r="H207" s="19"/>
      <c r="I207" s="19">
        <f t="shared" si="3"/>
        <v>0</v>
      </c>
      <c r="J207" s="20">
        <v>16.1</v>
      </c>
      <c r="K207" s="19">
        <f t="shared" si="4"/>
        <v>89</v>
      </c>
      <c r="L207" s="20">
        <v>2.09</v>
      </c>
      <c r="M207" s="19">
        <f t="shared" si="5"/>
        <v>169</v>
      </c>
      <c r="N207" s="20">
        <v>14.0</v>
      </c>
      <c r="O207" s="19">
        <f t="shared" si="6"/>
        <v>223</v>
      </c>
      <c r="P207" s="19" t="str">
        <f t="shared" si="7"/>
        <v>Punkte W 7-9</v>
      </c>
      <c r="Q207" s="19" t="str">
        <f t="shared" si="8"/>
        <v>Noten-Matrix-Mädchen</v>
      </c>
      <c r="R207" s="21">
        <f t="shared" si="9"/>
        <v>481</v>
      </c>
      <c r="S207" s="19" t="str">
        <f>IF(R207=0, "Keine Teilnahme", IFERROR(IF(R207&gt;=VLOOKUP(G207&amp;LOWER(E207), Formeln!$H$2:$K$30, 4, FALSE), "Ehrenurkunde", IF(R207&gt;=VLOOKUP(G207&amp;LOWER(E207), Formeln!$H$2:$K$30, 3, FALSE), "Siegerurkunde", "Teilnehmerurkunde")), "Keine Urkunde"))</f>
        <v>Teilnehmerurkunde</v>
      </c>
      <c r="T207" s="22" t="str">
        <f t="shared" si="10"/>
        <v>NOTE</v>
      </c>
    </row>
    <row r="208" ht="19.5" hidden="1" customHeight="1">
      <c r="A208" s="7" t="str">
        <f>IF(ASV_Daten!A207="","",ASV_Daten!A207)</f>
        <v>R7B</v>
      </c>
      <c r="B208" s="7" t="str">
        <f>IF(ASV_Daten!B207="","",ASV_Daten!B207)</f>
        <v>Volk</v>
      </c>
      <c r="C208" s="7" t="str">
        <f>IF(ASV_Daten!C207="","",ASV_Daten!C207)</f>
        <v>Michael</v>
      </c>
      <c r="D208" s="7">
        <f>IF(ASV_Daten!D207="","",ASV_Daten!D207)</f>
        <v>2013</v>
      </c>
      <c r="E208" s="7" t="str">
        <f>IF(ASV_Daten!E207="","",ASV_Daten!E207)</f>
        <v>M</v>
      </c>
      <c r="F208" s="8" t="str">
        <f t="shared" si="1"/>
        <v>7</v>
      </c>
      <c r="G208" s="9">
        <f t="shared" si="2"/>
        <v>13</v>
      </c>
      <c r="H208" s="28">
        <v>0.16666666666666666</v>
      </c>
      <c r="I208" s="11">
        <f t="shared" si="3"/>
        <v>334</v>
      </c>
      <c r="J208" s="11"/>
      <c r="K208" s="11">
        <f t="shared" si="4"/>
        <v>0</v>
      </c>
      <c r="L208" s="12">
        <v>3.17</v>
      </c>
      <c r="M208" s="11">
        <f t="shared" si="5"/>
        <v>287</v>
      </c>
      <c r="N208" s="12">
        <v>27.5</v>
      </c>
      <c r="O208" s="11">
        <f t="shared" si="6"/>
        <v>266</v>
      </c>
      <c r="P208" s="11" t="str">
        <f t="shared" si="7"/>
        <v>Punkte M 7-9</v>
      </c>
      <c r="Q208" s="11" t="str">
        <f t="shared" si="8"/>
        <v>Noten-Matrix-Jungen</v>
      </c>
      <c r="R208" s="13">
        <f t="shared" si="9"/>
        <v>887</v>
      </c>
      <c r="S208" s="11" t="str">
        <f>IF(R208=0, "Keine Teilnahme", IFERROR(IF(R208&gt;=VLOOKUP(G208&amp;LOWER(E208), Formeln!$H$2:$K$30, 4, FALSE), "Ehrenurkunde", IF(R208&gt;=VLOOKUP(G208&amp;LOWER(E208), Formeln!$H$2:$K$30, 3, FALSE), "Siegerurkunde", "Teilnehmerurkunde")), "Keine Urkunde"))</f>
        <v>Siegerurkunde</v>
      </c>
      <c r="T208" s="14">
        <f t="shared" si="10"/>
        <v>2.4</v>
      </c>
    </row>
    <row r="209" ht="19.5" hidden="1" customHeight="1">
      <c r="A209" s="15" t="str">
        <f>IF(ASV_Daten!A209="","",ASV_Daten!A209)</f>
        <v>R7B</v>
      </c>
      <c r="B209" s="15" t="str">
        <f>IF(ASV_Daten!B209="","",ASV_Daten!B209)</f>
        <v>Walizadeh</v>
      </c>
      <c r="C209" s="15" t="str">
        <f>IF(ASV_Daten!C209="","",ASV_Daten!C209)</f>
        <v>Parnia</v>
      </c>
      <c r="D209" s="15">
        <f>IF(ASV_Daten!D209="","",ASV_Daten!D209)</f>
        <v>2013</v>
      </c>
      <c r="E209" s="15" t="str">
        <f>IF(ASV_Daten!E209="","",ASV_Daten!E209)</f>
        <v>W</v>
      </c>
      <c r="F209" s="16" t="str">
        <f t="shared" si="1"/>
        <v>7</v>
      </c>
      <c r="G209" s="17">
        <f t="shared" si="2"/>
        <v>13</v>
      </c>
      <c r="H209" s="19"/>
      <c r="I209" s="19">
        <f t="shared" si="3"/>
        <v>0</v>
      </c>
      <c r="J209" s="19"/>
      <c r="K209" s="19">
        <f t="shared" si="4"/>
        <v>0</v>
      </c>
      <c r="L209" s="19"/>
      <c r="M209" s="19">
        <f t="shared" si="5"/>
        <v>0</v>
      </c>
      <c r="N209" s="19"/>
      <c r="O209" s="19">
        <f t="shared" si="6"/>
        <v>0</v>
      </c>
      <c r="P209" s="19" t="str">
        <f t="shared" si="7"/>
        <v>Punkte W 7-9</v>
      </c>
      <c r="Q209" s="19" t="str">
        <f t="shared" si="8"/>
        <v>Noten-Matrix-Mädchen</v>
      </c>
      <c r="R209" s="21">
        <f t="shared" si="9"/>
        <v>0</v>
      </c>
      <c r="S209" s="19" t="str">
        <f>IF(R209=0, "Keine Teilnahme", IFERROR(IF(R209&gt;=VLOOKUP(G209&amp;LOWER(E209), Formeln!$H$2:$K$30, 4, FALSE), "Ehrenurkunde", IF(R209&gt;=VLOOKUP(G209&amp;LOWER(E209), Formeln!$H$2:$K$30, 3, FALSE), "Siegerurkunde", "Teilnehmerurkunde")), "Keine Urkunde"))</f>
        <v>Keine Teilnahme</v>
      </c>
      <c r="T209" s="22" t="str">
        <f t="shared" si="10"/>
        <v>Keine Teilnahme</v>
      </c>
    </row>
    <row r="210" ht="19.5" hidden="1" customHeight="1">
      <c r="A210" s="7" t="str">
        <f>IF(ASV_Daten!A210="","",ASV_Daten!A210)</f>
        <v>R7B</v>
      </c>
      <c r="B210" s="7" t="str">
        <f>IF(ASV_Daten!B210="","",ASV_Daten!B210)</f>
        <v>Wangler</v>
      </c>
      <c r="C210" s="7" t="str">
        <f>IF(ASV_Daten!C210="","",ASV_Daten!C210)</f>
        <v>Selina</v>
      </c>
      <c r="D210" s="7">
        <f>IF(ASV_Daten!D210="","",ASV_Daten!D210)</f>
        <v>2013</v>
      </c>
      <c r="E210" s="7" t="str">
        <f>IF(ASV_Daten!E210="","",ASV_Daten!E210)</f>
        <v>W</v>
      </c>
      <c r="F210" s="8" t="str">
        <f t="shared" si="1"/>
        <v>7</v>
      </c>
      <c r="G210" s="9">
        <f t="shared" si="2"/>
        <v>13</v>
      </c>
      <c r="H210" s="11"/>
      <c r="I210" s="11">
        <f t="shared" si="3"/>
        <v>0</v>
      </c>
      <c r="J210" s="11"/>
      <c r="K210" s="11">
        <f t="shared" si="4"/>
        <v>0</v>
      </c>
      <c r="L210" s="12">
        <v>3.49</v>
      </c>
      <c r="M210" s="11">
        <f t="shared" si="5"/>
        <v>372</v>
      </c>
      <c r="N210" s="12">
        <v>19.0</v>
      </c>
      <c r="O210" s="11">
        <f t="shared" si="6"/>
        <v>283</v>
      </c>
      <c r="P210" s="11" t="str">
        <f t="shared" si="7"/>
        <v>Punkte W 7-9</v>
      </c>
      <c r="Q210" s="11" t="str">
        <f t="shared" si="8"/>
        <v>Noten-Matrix-Mädchen</v>
      </c>
      <c r="R210" s="13">
        <f t="shared" si="9"/>
        <v>655</v>
      </c>
      <c r="S210" s="11" t="str">
        <f>IF(R210=0, "Keine Teilnahme", IFERROR(IF(R210&gt;=VLOOKUP(G210&amp;LOWER(E210), Formeln!$H$2:$K$30, 4, FALSE), "Ehrenurkunde", IF(R210&gt;=VLOOKUP(G210&amp;LOWER(E210), Formeln!$H$2:$K$30, 3, FALSE), "Siegerurkunde", "Teilnehmerurkunde")), "Keine Urkunde"))</f>
        <v>Teilnehmerurkunde</v>
      </c>
      <c r="T210" s="14">
        <f t="shared" si="10"/>
        <v>4</v>
      </c>
    </row>
    <row r="211" ht="19.5" hidden="1" customHeight="1">
      <c r="A211" s="15" t="str">
        <f>IF(ASV_Daten!A201="","",ASV_Daten!A201)</f>
        <v>R7B</v>
      </c>
      <c r="B211" s="15" t="str">
        <f>IF(ASV_Daten!B201="","",ASV_Daten!B201)</f>
        <v>Rohrer</v>
      </c>
      <c r="C211" s="15" t="str">
        <f>IF(ASV_Daten!C201="","",ASV_Daten!C201)</f>
        <v>Sina</v>
      </c>
      <c r="D211" s="15">
        <f>IF(ASV_Daten!D201="","",ASV_Daten!D201)</f>
        <v>2013</v>
      </c>
      <c r="E211" s="15" t="str">
        <f>IF(ASV_Daten!E201="","",ASV_Daten!E201)</f>
        <v>W</v>
      </c>
      <c r="F211" s="16" t="str">
        <f t="shared" si="1"/>
        <v>7</v>
      </c>
      <c r="G211" s="17">
        <f t="shared" si="2"/>
        <v>13</v>
      </c>
      <c r="H211" s="19"/>
      <c r="I211" s="19">
        <f t="shared" si="3"/>
        <v>0</v>
      </c>
      <c r="J211" s="20">
        <v>12.0</v>
      </c>
      <c r="K211" s="19">
        <f t="shared" si="4"/>
        <v>322</v>
      </c>
      <c r="L211" s="20">
        <v>3.37</v>
      </c>
      <c r="M211" s="19">
        <f t="shared" si="5"/>
        <v>356</v>
      </c>
      <c r="N211" s="20">
        <v>18.0</v>
      </c>
      <c r="O211" s="19">
        <f t="shared" si="6"/>
        <v>272</v>
      </c>
      <c r="P211" s="19" t="str">
        <f t="shared" si="7"/>
        <v>Punkte W 7-9</v>
      </c>
      <c r="Q211" s="19" t="str">
        <f t="shared" si="8"/>
        <v>Noten-Matrix-Mädchen</v>
      </c>
      <c r="R211" s="21">
        <f t="shared" si="9"/>
        <v>950</v>
      </c>
      <c r="S211" s="19" t="str">
        <f>IF(R211=0, "Keine Teilnahme", IFERROR(IF(R211&gt;=VLOOKUP(G211&amp;LOWER(E211), Formeln!$H$2:$K$30, 4, FALSE), "Ehrenurkunde", IF(R211&gt;=VLOOKUP(G211&amp;LOWER(E211), Formeln!$H$2:$K$30, 3, FALSE), "Siegerurkunde", "Teilnehmerurkunde")), "Keine Urkunde"))</f>
        <v>Siegerurkunde</v>
      </c>
      <c r="T211" s="22">
        <f t="shared" si="10"/>
        <v>1.9</v>
      </c>
    </row>
    <row r="212" ht="19.5" hidden="1" customHeight="1">
      <c r="A212" s="7" t="str">
        <f>IF(ASV_Daten!A187="","",ASV_Daten!A187)</f>
        <v>R7B</v>
      </c>
      <c r="B212" s="7" t="str">
        <f>IF(ASV_Daten!B187="","",ASV_Daten!B187)</f>
        <v>Drogan</v>
      </c>
      <c r="C212" s="7" t="str">
        <f>IF(ASV_Daten!C187="","",ASV_Daten!C187)</f>
        <v>Zoe</v>
      </c>
      <c r="D212" s="7">
        <f>IF(ASV_Daten!D187="","",ASV_Daten!D187)</f>
        <v>2012</v>
      </c>
      <c r="E212" s="7" t="str">
        <f>IF(ASV_Daten!E187="","",ASV_Daten!E187)</f>
        <v>W</v>
      </c>
      <c r="F212" s="8" t="str">
        <f t="shared" si="1"/>
        <v>7</v>
      </c>
      <c r="G212" s="9">
        <f t="shared" si="2"/>
        <v>14</v>
      </c>
      <c r="H212" s="11"/>
      <c r="I212" s="11">
        <f t="shared" si="3"/>
        <v>0</v>
      </c>
      <c r="J212" s="12">
        <v>15.5</v>
      </c>
      <c r="K212" s="11">
        <f t="shared" si="4"/>
        <v>116</v>
      </c>
      <c r="L212" s="12">
        <v>2.05</v>
      </c>
      <c r="M212" s="11">
        <f t="shared" si="5"/>
        <v>162</v>
      </c>
      <c r="N212" s="12">
        <v>14.0</v>
      </c>
      <c r="O212" s="11">
        <f t="shared" si="6"/>
        <v>223</v>
      </c>
      <c r="P212" s="11" t="str">
        <f t="shared" si="7"/>
        <v>Punkte W 7-9</v>
      </c>
      <c r="Q212" s="11" t="str">
        <f t="shared" si="8"/>
        <v>Noten-Matrix-Mädchen</v>
      </c>
      <c r="R212" s="13">
        <f t="shared" si="9"/>
        <v>501</v>
      </c>
      <c r="S212" s="11" t="str">
        <f>IF(R212=0, "Keine Teilnahme", IFERROR(IF(R212&gt;=VLOOKUP(G212&amp;LOWER(E212), Formeln!$H$2:$K$30, 4, FALSE), "Ehrenurkunde", IF(R212&gt;=VLOOKUP(G212&amp;LOWER(E212), Formeln!$H$2:$K$30, 3, FALSE), "Siegerurkunde", "Teilnehmerurkunde")), "Keine Urkunde"))</f>
        <v>Teilnehmerurkunde</v>
      </c>
      <c r="T212" s="14" t="str">
        <f t="shared" si="10"/>
        <v>NOTE</v>
      </c>
    </row>
    <row r="213" ht="19.5" hidden="1" customHeight="1">
      <c r="A213" s="15" t="str">
        <f>IF(ASV_Daten!A226="","",ASV_Daten!A226)</f>
        <v>R7C</v>
      </c>
      <c r="B213" s="15" t="str">
        <f>IF(ASV_Daten!B226="","",ASV_Daten!B226)</f>
        <v>Saurer</v>
      </c>
      <c r="C213" s="15" t="str">
        <f>IF(ASV_Daten!C226="","",ASV_Daten!C226)</f>
        <v>Daniel</v>
      </c>
      <c r="D213" s="15">
        <f>IF(ASV_Daten!D226="","",ASV_Daten!D226)</f>
        <v>2013</v>
      </c>
      <c r="E213" s="15" t="str">
        <f>IF(ASV_Daten!E226="","",ASV_Daten!E226)</f>
        <v>M</v>
      </c>
      <c r="F213" s="16" t="str">
        <f t="shared" si="1"/>
        <v>7</v>
      </c>
      <c r="G213" s="17">
        <f t="shared" si="2"/>
        <v>13</v>
      </c>
      <c r="H213" s="19"/>
      <c r="I213" s="19">
        <f t="shared" si="3"/>
        <v>0</v>
      </c>
      <c r="J213" s="20">
        <v>13.4</v>
      </c>
      <c r="K213" s="19">
        <f t="shared" si="4"/>
        <v>210</v>
      </c>
      <c r="L213" s="20">
        <v>3.21</v>
      </c>
      <c r="M213" s="19">
        <f t="shared" si="5"/>
        <v>292</v>
      </c>
      <c r="N213" s="20">
        <v>28.0</v>
      </c>
      <c r="O213" s="19">
        <f t="shared" si="6"/>
        <v>270</v>
      </c>
      <c r="P213" s="19" t="str">
        <f t="shared" si="7"/>
        <v>Punkte M 7-9</v>
      </c>
      <c r="Q213" s="19" t="str">
        <f t="shared" si="8"/>
        <v>Noten-Matrix-Jungen</v>
      </c>
      <c r="R213" s="21">
        <f t="shared" si="9"/>
        <v>772</v>
      </c>
      <c r="S213" s="19" t="str">
        <f>IF(R213=0, "Keine Teilnahme", IFERROR(IF(R213&gt;=VLOOKUP(G213&amp;LOWER(E213), Formeln!$H$2:$K$30, 4, FALSE), "Ehrenurkunde", IF(R213&gt;=VLOOKUP(G213&amp;LOWER(E213), Formeln!$H$2:$K$30, 3, FALSE), "Siegerurkunde", "Teilnehmerurkunde")), "Keine Urkunde"))</f>
        <v>Teilnehmerurkunde</v>
      </c>
      <c r="T213" s="22">
        <f t="shared" si="10"/>
        <v>3.1</v>
      </c>
    </row>
    <row r="214" ht="19.5" hidden="1" customHeight="1">
      <c r="A214" s="7" t="str">
        <f>IF(ASV_Daten!A218="","",ASV_Daten!A218)</f>
        <v>R7C</v>
      </c>
      <c r="B214" s="7" t="str">
        <f>IF(ASV_Daten!B218="","",ASV_Daten!B218)</f>
        <v>Hofmeier</v>
      </c>
      <c r="C214" s="7" t="str">
        <f>IF(ASV_Daten!C218="","",ASV_Daten!C218)</f>
        <v>Felix</v>
      </c>
      <c r="D214" s="7">
        <f>IF(ASV_Daten!D218="","",ASV_Daten!D218)</f>
        <v>2013</v>
      </c>
      <c r="E214" s="7" t="str">
        <f>IF(ASV_Daten!E218="","",ASV_Daten!E218)</f>
        <v>M</v>
      </c>
      <c r="F214" s="8" t="str">
        <f t="shared" si="1"/>
        <v>7</v>
      </c>
      <c r="G214" s="9">
        <f t="shared" si="2"/>
        <v>13</v>
      </c>
      <c r="H214" s="11"/>
      <c r="I214" s="11">
        <f t="shared" si="3"/>
        <v>0</v>
      </c>
      <c r="J214" s="11"/>
      <c r="K214" s="11">
        <f t="shared" si="4"/>
        <v>0</v>
      </c>
      <c r="L214" s="11"/>
      <c r="M214" s="11">
        <f t="shared" si="5"/>
        <v>0</v>
      </c>
      <c r="N214" s="11"/>
      <c r="O214" s="11">
        <f t="shared" si="6"/>
        <v>0</v>
      </c>
      <c r="P214" s="11" t="str">
        <f t="shared" si="7"/>
        <v>Punkte M 7-9</v>
      </c>
      <c r="Q214" s="11" t="str">
        <f t="shared" si="8"/>
        <v>Noten-Matrix-Jungen</v>
      </c>
      <c r="R214" s="13">
        <f t="shared" si="9"/>
        <v>0</v>
      </c>
      <c r="S214" s="11" t="str">
        <f>IF(R214=0, "Keine Teilnahme", IFERROR(IF(R214&gt;=VLOOKUP(G214&amp;LOWER(E214), Formeln!$H$2:$K$30, 4, FALSE), "Ehrenurkunde", IF(R214&gt;=VLOOKUP(G214&amp;LOWER(E214), Formeln!$H$2:$K$30, 3, FALSE), "Siegerurkunde", "Teilnehmerurkunde")), "Keine Urkunde"))</f>
        <v>Keine Teilnahme</v>
      </c>
      <c r="T214" s="14" t="str">
        <f t="shared" si="10"/>
        <v>Keine Teilnahme</v>
      </c>
    </row>
    <row r="215" ht="19.5" hidden="1" customHeight="1">
      <c r="A215" s="15" t="str">
        <f>IF(ASV_Daten!A232="","",ASV_Daten!A232)</f>
        <v>R7C</v>
      </c>
      <c r="B215" s="15" t="str">
        <f>IF(ASV_Daten!B232="","",ASV_Daten!B232)</f>
        <v>Winterhalter</v>
      </c>
      <c r="C215" s="15" t="str">
        <f>IF(ASV_Daten!C232="","",ASV_Daten!C232)</f>
        <v>Finn</v>
      </c>
      <c r="D215" s="15">
        <f>IF(ASV_Daten!D232="","",ASV_Daten!D232)</f>
        <v>2013</v>
      </c>
      <c r="E215" s="15" t="str">
        <f>IF(ASV_Daten!E232="","",ASV_Daten!E232)</f>
        <v>M</v>
      </c>
      <c r="F215" s="16" t="str">
        <f t="shared" si="1"/>
        <v>7</v>
      </c>
      <c r="G215" s="17">
        <f t="shared" si="2"/>
        <v>13</v>
      </c>
      <c r="H215" s="19"/>
      <c r="I215" s="19">
        <f t="shared" si="3"/>
        <v>0</v>
      </c>
      <c r="J215" s="20">
        <v>14.8</v>
      </c>
      <c r="K215" s="19">
        <f t="shared" si="4"/>
        <v>133</v>
      </c>
      <c r="L215" s="20">
        <v>2.89</v>
      </c>
      <c r="M215" s="19">
        <f t="shared" si="5"/>
        <v>251</v>
      </c>
      <c r="N215" s="20">
        <v>16.0</v>
      </c>
      <c r="O215" s="19">
        <f t="shared" si="6"/>
        <v>166</v>
      </c>
      <c r="P215" s="19" t="str">
        <f t="shared" si="7"/>
        <v>Punkte M 7-9</v>
      </c>
      <c r="Q215" s="19" t="str">
        <f t="shared" si="8"/>
        <v>Noten-Matrix-Jungen</v>
      </c>
      <c r="R215" s="21">
        <f t="shared" si="9"/>
        <v>550</v>
      </c>
      <c r="S215" s="19" t="str">
        <f>IF(R215=0, "Keine Teilnahme", IFERROR(IF(R215&gt;=VLOOKUP(G215&amp;LOWER(E215), Formeln!$H$2:$K$30, 4, FALSE), "Ehrenurkunde", IF(R215&gt;=VLOOKUP(G215&amp;LOWER(E215), Formeln!$H$2:$K$30, 3, FALSE), "Siegerurkunde", "Teilnehmerurkunde")), "Keine Urkunde"))</f>
        <v>Teilnehmerurkunde</v>
      </c>
      <c r="T215" s="22" t="str">
        <f t="shared" si="10"/>
        <v>NOTE</v>
      </c>
    </row>
    <row r="216" ht="19.5" hidden="1" customHeight="1">
      <c r="A216" s="7" t="str">
        <f>IF(ASV_Daten!A225="","",ASV_Daten!A225)</f>
        <v>R7C</v>
      </c>
      <c r="B216" s="7" t="str">
        <f>IF(ASV_Daten!B225="","",ASV_Daten!B225)</f>
        <v>Radu</v>
      </c>
      <c r="C216" s="7" t="str">
        <f>IF(ASV_Daten!C225="","",ASV_Daten!C225)</f>
        <v>Gabriel</v>
      </c>
      <c r="D216" s="7">
        <f>IF(ASV_Daten!D225="","",ASV_Daten!D225)</f>
        <v>2013</v>
      </c>
      <c r="E216" s="7" t="str">
        <f>IF(ASV_Daten!E225="","",ASV_Daten!E225)</f>
        <v>M</v>
      </c>
      <c r="F216" s="8" t="str">
        <f t="shared" si="1"/>
        <v>7</v>
      </c>
      <c r="G216" s="9">
        <f t="shared" si="2"/>
        <v>13</v>
      </c>
      <c r="H216" s="10">
        <v>0.23055555555555557</v>
      </c>
      <c r="I216" s="11">
        <f t="shared" si="3"/>
        <v>142</v>
      </c>
      <c r="J216" s="11"/>
      <c r="K216" s="11">
        <f t="shared" si="4"/>
        <v>0</v>
      </c>
      <c r="L216" s="12">
        <v>2.13</v>
      </c>
      <c r="M216" s="11">
        <f t="shared" si="5"/>
        <v>141</v>
      </c>
      <c r="N216" s="12">
        <v>18.0</v>
      </c>
      <c r="O216" s="11">
        <f t="shared" si="6"/>
        <v>186</v>
      </c>
      <c r="P216" s="11" t="str">
        <f t="shared" si="7"/>
        <v>Punkte M 7-9</v>
      </c>
      <c r="Q216" s="11" t="str">
        <f t="shared" si="8"/>
        <v>Noten-Matrix-Jungen</v>
      </c>
      <c r="R216" s="13">
        <f t="shared" si="9"/>
        <v>469</v>
      </c>
      <c r="S216" s="11" t="str">
        <f>IF(R216=0, "Keine Teilnahme", IFERROR(IF(R216&gt;=VLOOKUP(G216&amp;LOWER(E216), Formeln!$H$2:$K$30, 4, FALSE), "Ehrenurkunde", IF(R216&gt;=VLOOKUP(G216&amp;LOWER(E216), Formeln!$H$2:$K$30, 3, FALSE), "Siegerurkunde", "Teilnehmerurkunde")), "Keine Urkunde"))</f>
        <v>Teilnehmerurkunde</v>
      </c>
      <c r="T216" s="14" t="str">
        <f t="shared" si="10"/>
        <v>NOTE</v>
      </c>
    </row>
    <row r="217" ht="19.5" hidden="1" customHeight="1">
      <c r="A217" s="15" t="str">
        <f>IF(ASV_Daten!A223="","",ASV_Daten!A223)</f>
        <v>R7C</v>
      </c>
      <c r="B217" s="15" t="str">
        <f>IF(ASV_Daten!B223="","",ASV_Daten!B223)</f>
        <v>Maier</v>
      </c>
      <c r="C217" s="15" t="str">
        <f>IF(ASV_Daten!C223="","",ASV_Daten!C223)</f>
        <v>Kilian</v>
      </c>
      <c r="D217" s="15">
        <f>IF(ASV_Daten!D223="","",ASV_Daten!D223)</f>
        <v>2013</v>
      </c>
      <c r="E217" s="15" t="str">
        <f>IF(ASV_Daten!E223="","",ASV_Daten!E223)</f>
        <v>M</v>
      </c>
      <c r="F217" s="16" t="str">
        <f t="shared" si="1"/>
        <v>7</v>
      </c>
      <c r="G217" s="17">
        <f t="shared" si="2"/>
        <v>13</v>
      </c>
      <c r="H217" s="19"/>
      <c r="I217" s="19">
        <f t="shared" si="3"/>
        <v>0</v>
      </c>
      <c r="J217" s="20">
        <v>11.4</v>
      </c>
      <c r="K217" s="19">
        <f t="shared" si="4"/>
        <v>352</v>
      </c>
      <c r="L217" s="20">
        <v>3.81</v>
      </c>
      <c r="M217" s="19">
        <f t="shared" si="5"/>
        <v>366</v>
      </c>
      <c r="N217" s="20">
        <v>30.0</v>
      </c>
      <c r="O217" s="19">
        <f t="shared" si="6"/>
        <v>285</v>
      </c>
      <c r="P217" s="19" t="str">
        <f t="shared" si="7"/>
        <v>Punkte M 7-9</v>
      </c>
      <c r="Q217" s="19" t="str">
        <f t="shared" si="8"/>
        <v>Noten-Matrix-Jungen</v>
      </c>
      <c r="R217" s="21">
        <f t="shared" si="9"/>
        <v>1003</v>
      </c>
      <c r="S217" s="19" t="str">
        <f>IF(R217=0, "Keine Teilnahme", IFERROR(IF(R217&gt;=VLOOKUP(G217&amp;LOWER(E217), Formeln!$H$2:$K$30, 4, FALSE), "Ehrenurkunde", IF(R217&gt;=VLOOKUP(G217&amp;LOWER(E217), Formeln!$H$2:$K$30, 3, FALSE), "Siegerurkunde", "Teilnehmerurkunde")), "Keine Urkunde"))</f>
        <v>Siegerurkunde</v>
      </c>
      <c r="T217" s="22">
        <f t="shared" si="10"/>
        <v>1.8</v>
      </c>
    </row>
    <row r="218" ht="19.5" hidden="1" customHeight="1">
      <c r="A218" s="7" t="str">
        <f>IF(ASV_Daten!A227="","",ASV_Daten!A227)</f>
        <v>R7C</v>
      </c>
      <c r="B218" s="7" t="str">
        <f>IF(ASV_Daten!B227="","",ASV_Daten!B227)</f>
        <v>Spiegelhalter</v>
      </c>
      <c r="C218" s="7" t="str">
        <f>IF(ASV_Daten!C227="","",ASV_Daten!C227)</f>
        <v>Kilian</v>
      </c>
      <c r="D218" s="7">
        <f>IF(ASV_Daten!D227="","",ASV_Daten!D227)</f>
        <v>2012</v>
      </c>
      <c r="E218" s="7" t="str">
        <f>IF(ASV_Daten!E227="","",ASV_Daten!E227)</f>
        <v>M</v>
      </c>
      <c r="F218" s="8" t="str">
        <f t="shared" si="1"/>
        <v>7</v>
      </c>
      <c r="G218" s="9">
        <f t="shared" si="2"/>
        <v>14</v>
      </c>
      <c r="H218" s="10">
        <v>0.16180555555555556</v>
      </c>
      <c r="I218" s="11">
        <f t="shared" si="3"/>
        <v>352</v>
      </c>
      <c r="J218" s="11"/>
      <c r="K218" s="11">
        <f t="shared" si="4"/>
        <v>0</v>
      </c>
      <c r="L218" s="12">
        <v>4.17</v>
      </c>
      <c r="M218" s="11">
        <f t="shared" si="5"/>
        <v>407</v>
      </c>
      <c r="N218" s="12">
        <v>27.0</v>
      </c>
      <c r="O218" s="11">
        <f t="shared" si="6"/>
        <v>262</v>
      </c>
      <c r="P218" s="11" t="str">
        <f t="shared" si="7"/>
        <v>Punkte M 7-9</v>
      </c>
      <c r="Q218" s="11" t="str">
        <f t="shared" si="8"/>
        <v>Noten-Matrix-Jungen</v>
      </c>
      <c r="R218" s="13">
        <f t="shared" si="9"/>
        <v>1021</v>
      </c>
      <c r="S218" s="11" t="str">
        <f>IF(R218=0, "Keine Teilnahme", IFERROR(IF(R218&gt;=VLOOKUP(G218&amp;LOWER(E218), Formeln!$H$2:$K$30, 4, FALSE), "Ehrenurkunde", IF(R218&gt;=VLOOKUP(G218&amp;LOWER(E218), Formeln!$H$2:$K$30, 3, FALSE), "Siegerurkunde", "Teilnehmerurkunde")), "Keine Urkunde"))</f>
        <v>Siegerurkunde</v>
      </c>
      <c r="T218" s="14">
        <f t="shared" si="10"/>
        <v>2.1</v>
      </c>
    </row>
    <row r="219" ht="19.5" hidden="1" customHeight="1">
      <c r="A219" s="15" t="str">
        <f>IF(ASV_Daten!A219="","",ASV_Daten!A219)</f>
        <v>R7C</v>
      </c>
      <c r="B219" s="15" t="str">
        <f>IF(ASV_Daten!B219="","",ASV_Daten!B219)</f>
        <v>Hog</v>
      </c>
      <c r="C219" s="15" t="str">
        <f>IF(ASV_Daten!C219="","",ASV_Daten!C219)</f>
        <v>Laura</v>
      </c>
      <c r="D219" s="15">
        <f>IF(ASV_Daten!D219="","",ASV_Daten!D219)</f>
        <v>2013</v>
      </c>
      <c r="E219" s="15" t="str">
        <f>IF(ASV_Daten!E219="","",ASV_Daten!E219)</f>
        <v>W</v>
      </c>
      <c r="F219" s="16" t="str">
        <f t="shared" si="1"/>
        <v>7</v>
      </c>
      <c r="G219" s="17">
        <f t="shared" si="2"/>
        <v>13</v>
      </c>
      <c r="H219" s="18">
        <v>0.12222222222222222</v>
      </c>
      <c r="I219" s="19">
        <f t="shared" si="3"/>
        <v>389</v>
      </c>
      <c r="J219" s="19"/>
      <c r="K219" s="19">
        <f t="shared" si="4"/>
        <v>0</v>
      </c>
      <c r="L219" s="20">
        <v>3.13</v>
      </c>
      <c r="M219" s="19">
        <f t="shared" si="5"/>
        <v>324</v>
      </c>
      <c r="N219" s="20">
        <v>14.0</v>
      </c>
      <c r="O219" s="19">
        <f t="shared" si="6"/>
        <v>223</v>
      </c>
      <c r="P219" s="19" t="str">
        <f t="shared" si="7"/>
        <v>Punkte W 7-9</v>
      </c>
      <c r="Q219" s="19" t="str">
        <f t="shared" si="8"/>
        <v>Noten-Matrix-Mädchen</v>
      </c>
      <c r="R219" s="21">
        <f t="shared" si="9"/>
        <v>936</v>
      </c>
      <c r="S219" s="19" t="str">
        <f>IF(R219=0, "Keine Teilnahme", IFERROR(IF(R219&gt;=VLOOKUP(G219&amp;LOWER(E219), Formeln!$H$2:$K$30, 4, FALSE), "Ehrenurkunde", IF(R219&gt;=VLOOKUP(G219&amp;LOWER(E219), Formeln!$H$2:$K$30, 3, FALSE), "Siegerurkunde", "Teilnehmerurkunde")), "Keine Urkunde"))</f>
        <v>Siegerurkunde</v>
      </c>
      <c r="T219" s="22">
        <f t="shared" si="10"/>
        <v>2</v>
      </c>
    </row>
    <row r="220" ht="19.5" hidden="1" customHeight="1">
      <c r="A220" s="7" t="str">
        <f>IF(ASV_Daten!A216="","",ASV_Daten!A216)</f>
        <v>R7C</v>
      </c>
      <c r="B220" s="7" t="str">
        <f>IF(ASV_Daten!B216="","",ASV_Daten!B216)</f>
        <v>Götz</v>
      </c>
      <c r="C220" s="7" t="str">
        <f>IF(ASV_Daten!C216="","",ASV_Daten!C216)</f>
        <v>Laurin</v>
      </c>
      <c r="D220" s="7">
        <f>IF(ASV_Daten!D216="","",ASV_Daten!D216)</f>
        <v>2012</v>
      </c>
      <c r="E220" s="7" t="str">
        <f>IF(ASV_Daten!E216="","",ASV_Daten!E216)</f>
        <v>M</v>
      </c>
      <c r="F220" s="8" t="str">
        <f t="shared" si="1"/>
        <v>7</v>
      </c>
      <c r="G220" s="9">
        <f t="shared" si="2"/>
        <v>14</v>
      </c>
      <c r="H220" s="11"/>
      <c r="I220" s="11">
        <f t="shared" si="3"/>
        <v>0</v>
      </c>
      <c r="J220" s="12">
        <v>11.3</v>
      </c>
      <c r="K220" s="11">
        <f t="shared" si="4"/>
        <v>361</v>
      </c>
      <c r="L220" s="12">
        <v>4.13</v>
      </c>
      <c r="M220" s="11">
        <f t="shared" si="5"/>
        <v>402</v>
      </c>
      <c r="N220" s="12">
        <v>23.0</v>
      </c>
      <c r="O220" s="11">
        <f t="shared" si="6"/>
        <v>230</v>
      </c>
      <c r="P220" s="11" t="str">
        <f t="shared" si="7"/>
        <v>Punkte M 7-9</v>
      </c>
      <c r="Q220" s="11" t="str">
        <f t="shared" si="8"/>
        <v>Noten-Matrix-Jungen</v>
      </c>
      <c r="R220" s="13">
        <f t="shared" si="9"/>
        <v>993</v>
      </c>
      <c r="S220" s="11" t="str">
        <f>IF(R220=0, "Keine Teilnahme", IFERROR(IF(R220&gt;=VLOOKUP(G220&amp;LOWER(E220), Formeln!$H$2:$K$30, 4, FALSE), "Ehrenurkunde", IF(R220&gt;=VLOOKUP(G220&amp;LOWER(E220), Formeln!$H$2:$K$30, 3, FALSE), "Siegerurkunde", "Teilnehmerurkunde")), "Keine Urkunde"))</f>
        <v>Siegerurkunde</v>
      </c>
      <c r="T220" s="14">
        <f t="shared" si="10"/>
        <v>2.2</v>
      </c>
    </row>
    <row r="221" ht="19.5" hidden="1" customHeight="1">
      <c r="A221" s="15" t="str">
        <f>IF(ASV_Daten!A228="","",ASV_Daten!A228)</f>
        <v>R7C</v>
      </c>
      <c r="B221" s="15" t="str">
        <f>IF(ASV_Daten!B228="","",ASV_Daten!B228)</f>
        <v>Spiegelhalter</v>
      </c>
      <c r="C221" s="15" t="str">
        <f>IF(ASV_Daten!C228="","",ASV_Daten!C228)</f>
        <v>Laurin</v>
      </c>
      <c r="D221" s="15">
        <f>IF(ASV_Daten!D228="","",ASV_Daten!D228)</f>
        <v>2012</v>
      </c>
      <c r="E221" s="15" t="str">
        <f>IF(ASV_Daten!E228="","",ASV_Daten!E228)</f>
        <v>M</v>
      </c>
      <c r="F221" s="16" t="str">
        <f t="shared" si="1"/>
        <v>7</v>
      </c>
      <c r="G221" s="17">
        <f t="shared" si="2"/>
        <v>14</v>
      </c>
      <c r="H221" s="19"/>
      <c r="I221" s="19">
        <f t="shared" si="3"/>
        <v>0</v>
      </c>
      <c r="J221" s="20">
        <v>11.9</v>
      </c>
      <c r="K221" s="19">
        <f t="shared" si="4"/>
        <v>312</v>
      </c>
      <c r="L221" s="20">
        <v>4.13</v>
      </c>
      <c r="M221" s="19">
        <f t="shared" si="5"/>
        <v>402</v>
      </c>
      <c r="N221" s="20">
        <v>33.0</v>
      </c>
      <c r="O221" s="19">
        <f t="shared" si="6"/>
        <v>307</v>
      </c>
      <c r="P221" s="19" t="str">
        <f t="shared" si="7"/>
        <v>Punkte M 7-9</v>
      </c>
      <c r="Q221" s="19" t="str">
        <f t="shared" si="8"/>
        <v>Noten-Matrix-Jungen</v>
      </c>
      <c r="R221" s="21">
        <f t="shared" si="9"/>
        <v>1021</v>
      </c>
      <c r="S221" s="19" t="str">
        <f>IF(R221=0, "Keine Teilnahme", IFERROR(IF(R221&gt;=VLOOKUP(G221&amp;LOWER(E221), Formeln!$H$2:$K$30, 4, FALSE), "Ehrenurkunde", IF(R221&gt;=VLOOKUP(G221&amp;LOWER(E221), Formeln!$H$2:$K$30, 3, FALSE), "Siegerurkunde", "Teilnehmerurkunde")), "Keine Urkunde"))</f>
        <v>Siegerurkunde</v>
      </c>
      <c r="T221" s="22">
        <f t="shared" si="10"/>
        <v>2.1</v>
      </c>
    </row>
    <row r="222" ht="19.5" hidden="1" customHeight="1">
      <c r="A222" s="7" t="str">
        <f>IF(ASV_Daten!A231="","",ASV_Daten!A231)</f>
        <v>R7C</v>
      </c>
      <c r="B222" s="7" t="str">
        <f>IF(ASV_Daten!B231="","",ASV_Daten!B231)</f>
        <v>Winterhalder</v>
      </c>
      <c r="C222" s="7" t="str">
        <f>IF(ASV_Daten!C231="","",ASV_Daten!C231)</f>
        <v>Levinja</v>
      </c>
      <c r="D222" s="7">
        <f>IF(ASV_Daten!D231="","",ASV_Daten!D231)</f>
        <v>2013</v>
      </c>
      <c r="E222" s="7" t="str">
        <f>IF(ASV_Daten!E231="","",ASV_Daten!E231)</f>
        <v>W</v>
      </c>
      <c r="F222" s="8" t="str">
        <f t="shared" si="1"/>
        <v>7</v>
      </c>
      <c r="G222" s="9">
        <f t="shared" si="2"/>
        <v>13</v>
      </c>
      <c r="H222" s="11"/>
      <c r="I222" s="11">
        <f t="shared" si="3"/>
        <v>0</v>
      </c>
      <c r="J222" s="12">
        <v>12.8</v>
      </c>
      <c r="K222" s="11">
        <f t="shared" si="4"/>
        <v>265</v>
      </c>
      <c r="L222" s="12">
        <v>2.81</v>
      </c>
      <c r="M222" s="11">
        <f t="shared" si="5"/>
        <v>280</v>
      </c>
      <c r="N222" s="12">
        <v>15.0</v>
      </c>
      <c r="O222" s="11">
        <f t="shared" si="6"/>
        <v>236</v>
      </c>
      <c r="P222" s="11" t="str">
        <f t="shared" si="7"/>
        <v>Punkte W 7-9</v>
      </c>
      <c r="Q222" s="11" t="str">
        <f t="shared" si="8"/>
        <v>Noten-Matrix-Mädchen</v>
      </c>
      <c r="R222" s="13">
        <f t="shared" si="9"/>
        <v>781</v>
      </c>
      <c r="S222" s="11" t="str">
        <f>IF(R222=0, "Keine Teilnahme", IFERROR(IF(R222&gt;=VLOOKUP(G222&amp;LOWER(E222), Formeln!$H$2:$K$30, 4, FALSE), "Ehrenurkunde", IF(R222&gt;=VLOOKUP(G222&amp;LOWER(E222), Formeln!$H$2:$K$30, 3, FALSE), "Siegerurkunde", "Teilnehmerurkunde")), "Keine Urkunde"))</f>
        <v>Teilnehmerurkunde</v>
      </c>
      <c r="T222" s="14">
        <f t="shared" si="10"/>
        <v>3</v>
      </c>
    </row>
    <row r="223" ht="19.5" hidden="1" customHeight="1">
      <c r="A223" s="15" t="str">
        <f>IF(ASV_Daten!A220="","",ASV_Daten!A220)</f>
        <v>R7C</v>
      </c>
      <c r="B223" s="15" t="str">
        <f>IF(ASV_Daten!B220="","",ASV_Daten!B220)</f>
        <v>Isele</v>
      </c>
      <c r="C223" s="15" t="str">
        <f>IF(ASV_Daten!C220="","",ASV_Daten!C220)</f>
        <v>Linus</v>
      </c>
      <c r="D223" s="15">
        <f>IF(ASV_Daten!D220="","",ASV_Daten!D220)</f>
        <v>2012</v>
      </c>
      <c r="E223" s="15" t="str">
        <f>IF(ASV_Daten!E220="","",ASV_Daten!E220)</f>
        <v>M</v>
      </c>
      <c r="F223" s="16" t="str">
        <f t="shared" si="1"/>
        <v>7</v>
      </c>
      <c r="G223" s="17">
        <f t="shared" si="2"/>
        <v>14</v>
      </c>
      <c r="H223" s="18">
        <v>0.16875</v>
      </c>
      <c r="I223" s="19">
        <f t="shared" si="3"/>
        <v>323</v>
      </c>
      <c r="J223" s="19"/>
      <c r="K223" s="19">
        <f t="shared" si="4"/>
        <v>0</v>
      </c>
      <c r="L223" s="20">
        <v>2.93</v>
      </c>
      <c r="M223" s="19">
        <f t="shared" si="5"/>
        <v>256</v>
      </c>
      <c r="N223" s="20">
        <v>22.0</v>
      </c>
      <c r="O223" s="19">
        <f t="shared" si="6"/>
        <v>222</v>
      </c>
      <c r="P223" s="19" t="str">
        <f t="shared" si="7"/>
        <v>Punkte M 7-9</v>
      </c>
      <c r="Q223" s="19" t="str">
        <f t="shared" si="8"/>
        <v>Noten-Matrix-Jungen</v>
      </c>
      <c r="R223" s="21">
        <f t="shared" si="9"/>
        <v>801</v>
      </c>
      <c r="S223" s="19" t="str">
        <f>IF(R223=0, "Keine Teilnahme", IFERROR(IF(R223&gt;=VLOOKUP(G223&amp;LOWER(E223), Formeln!$H$2:$K$30, 4, FALSE), "Ehrenurkunde", IF(R223&gt;=VLOOKUP(G223&amp;LOWER(E223), Formeln!$H$2:$K$30, 3, FALSE), "Siegerurkunde", "Teilnehmerurkunde")), "Keine Urkunde"))</f>
        <v>Teilnehmerurkunde</v>
      </c>
      <c r="T223" s="22">
        <f t="shared" si="10"/>
        <v>3.4</v>
      </c>
    </row>
    <row r="224" ht="19.5" hidden="1" customHeight="1">
      <c r="A224" s="7" t="str">
        <f>IF(ASV_Daten!A222="","",ASV_Daten!A222)</f>
        <v>R7C</v>
      </c>
      <c r="B224" s="7" t="str">
        <f>IF(ASV_Daten!B222="","",ASV_Daten!B222)</f>
        <v>Löffler</v>
      </c>
      <c r="C224" s="7" t="str">
        <f>IF(ASV_Daten!C222="","",ASV_Daten!C222)</f>
        <v>Magdalena</v>
      </c>
      <c r="D224" s="7">
        <f>IF(ASV_Daten!D222="","",ASV_Daten!D222)</f>
        <v>2012</v>
      </c>
      <c r="E224" s="7" t="str">
        <f>IF(ASV_Daten!E222="","",ASV_Daten!E222)</f>
        <v>W</v>
      </c>
      <c r="F224" s="8" t="str">
        <f t="shared" si="1"/>
        <v>7</v>
      </c>
      <c r="G224" s="9">
        <f t="shared" si="2"/>
        <v>14</v>
      </c>
      <c r="H224" s="11"/>
      <c r="I224" s="11">
        <f t="shared" si="3"/>
        <v>0</v>
      </c>
      <c r="J224" s="11"/>
      <c r="K224" s="11">
        <f t="shared" si="4"/>
        <v>0</v>
      </c>
      <c r="L224" s="11"/>
      <c r="M224" s="11">
        <f t="shared" si="5"/>
        <v>0</v>
      </c>
      <c r="N224" s="11"/>
      <c r="O224" s="11">
        <f t="shared" si="6"/>
        <v>0</v>
      </c>
      <c r="P224" s="11" t="str">
        <f t="shared" si="7"/>
        <v>Punkte W 7-9</v>
      </c>
      <c r="Q224" s="11" t="str">
        <f t="shared" si="8"/>
        <v>Noten-Matrix-Mädchen</v>
      </c>
      <c r="R224" s="13">
        <f t="shared" si="9"/>
        <v>0</v>
      </c>
      <c r="S224" s="11" t="str">
        <f>IF(R224=0, "Keine Teilnahme", IFERROR(IF(R224&gt;=VLOOKUP(G224&amp;LOWER(E224), Formeln!$H$2:$K$30, 4, FALSE), "Ehrenurkunde", IF(R224&gt;=VLOOKUP(G224&amp;LOWER(E224), Formeln!$H$2:$K$30, 3, FALSE), "Siegerurkunde", "Teilnehmerurkunde")), "Keine Urkunde"))</f>
        <v>Keine Teilnahme</v>
      </c>
      <c r="T224" s="14" t="str">
        <f t="shared" si="10"/>
        <v>Keine Teilnahme</v>
      </c>
    </row>
    <row r="225" ht="19.5" hidden="1" customHeight="1">
      <c r="A225" s="15" t="str">
        <f>IF(ASV_Daten!A217="","",ASV_Daten!A217)</f>
        <v>R7C</v>
      </c>
      <c r="B225" s="15" t="str">
        <f>IF(ASV_Daten!B217="","",ASV_Daten!B217)</f>
        <v>Haas</v>
      </c>
      <c r="C225" s="15" t="str">
        <f>IF(ASV_Daten!C217="","",ASV_Daten!C217)</f>
        <v>Marlon</v>
      </c>
      <c r="D225" s="15">
        <f>IF(ASV_Daten!D217="","",ASV_Daten!D217)</f>
        <v>2013</v>
      </c>
      <c r="E225" s="15" t="str">
        <f>IF(ASV_Daten!E217="","",ASV_Daten!E217)</f>
        <v>M</v>
      </c>
      <c r="F225" s="16" t="str">
        <f t="shared" si="1"/>
        <v>7</v>
      </c>
      <c r="G225" s="17">
        <f t="shared" si="2"/>
        <v>13</v>
      </c>
      <c r="H225" s="25"/>
      <c r="I225" s="19">
        <f t="shared" si="3"/>
        <v>0</v>
      </c>
      <c r="J225" s="20">
        <v>12.3</v>
      </c>
      <c r="K225" s="19">
        <f t="shared" si="4"/>
        <v>283</v>
      </c>
      <c r="L225" s="20">
        <v>3.53</v>
      </c>
      <c r="M225" s="19">
        <f t="shared" si="5"/>
        <v>332</v>
      </c>
      <c r="N225" s="20">
        <v>18.0</v>
      </c>
      <c r="O225" s="19">
        <f t="shared" si="6"/>
        <v>186</v>
      </c>
      <c r="P225" s="19" t="str">
        <f t="shared" si="7"/>
        <v>Punkte M 7-9</v>
      </c>
      <c r="Q225" s="19" t="str">
        <f t="shared" si="8"/>
        <v>Noten-Matrix-Jungen</v>
      </c>
      <c r="R225" s="21">
        <f t="shared" si="9"/>
        <v>801</v>
      </c>
      <c r="S225" s="19" t="str">
        <f>IF(R225=0, "Keine Teilnahme", IFERROR(IF(R225&gt;=VLOOKUP(G225&amp;LOWER(E225), Formeln!$H$2:$K$30, 4, FALSE), "Ehrenurkunde", IF(R225&gt;=VLOOKUP(G225&amp;LOWER(E225), Formeln!$H$2:$K$30, 3, FALSE), "Siegerurkunde", "Teilnehmerurkunde")), "Keine Urkunde"))</f>
        <v>Teilnehmerurkunde</v>
      </c>
      <c r="T225" s="22">
        <f t="shared" si="10"/>
        <v>2.9</v>
      </c>
    </row>
    <row r="226" ht="19.5" hidden="1" customHeight="1">
      <c r="A226" s="7" t="str">
        <f>IF(ASV_Daten!A215="","",ASV_Daten!A215)</f>
        <v>R7C</v>
      </c>
      <c r="B226" s="7" t="str">
        <f>IF(ASV_Daten!B215="","",ASV_Daten!B215)</f>
        <v>Fehrenbach</v>
      </c>
      <c r="C226" s="7" t="str">
        <f>IF(ASV_Daten!C215="","",ASV_Daten!C215)</f>
        <v>Matteo</v>
      </c>
      <c r="D226" s="7">
        <f>IF(ASV_Daten!D215="","",ASV_Daten!D215)</f>
        <v>2013</v>
      </c>
      <c r="E226" s="7" t="str">
        <f>IF(ASV_Daten!E215="","",ASV_Daten!E215)</f>
        <v>M</v>
      </c>
      <c r="F226" s="8" t="str">
        <f t="shared" si="1"/>
        <v>7</v>
      </c>
      <c r="G226" s="9">
        <f t="shared" si="2"/>
        <v>13</v>
      </c>
      <c r="H226" s="11"/>
      <c r="I226" s="11">
        <f t="shared" si="3"/>
        <v>0</v>
      </c>
      <c r="J226" s="12">
        <v>12.0</v>
      </c>
      <c r="K226" s="11">
        <f t="shared" si="4"/>
        <v>305</v>
      </c>
      <c r="L226" s="12">
        <v>3.57</v>
      </c>
      <c r="M226" s="11">
        <f t="shared" si="5"/>
        <v>337</v>
      </c>
      <c r="N226" s="12">
        <v>30.0</v>
      </c>
      <c r="O226" s="11">
        <f t="shared" si="6"/>
        <v>285</v>
      </c>
      <c r="P226" s="11" t="str">
        <f t="shared" si="7"/>
        <v>Punkte M 7-9</v>
      </c>
      <c r="Q226" s="11" t="str">
        <f t="shared" si="8"/>
        <v>Noten-Matrix-Jungen</v>
      </c>
      <c r="R226" s="13">
        <f t="shared" si="9"/>
        <v>927</v>
      </c>
      <c r="S226" s="11" t="str">
        <f>IF(R226=0, "Keine Teilnahme", IFERROR(IF(R226&gt;=VLOOKUP(G226&amp;LOWER(E226), Formeln!$H$2:$K$30, 4, FALSE), "Ehrenurkunde", IF(R226&gt;=VLOOKUP(G226&amp;LOWER(E226), Formeln!$H$2:$K$30, 3, FALSE), "Siegerurkunde", "Teilnehmerurkunde")), "Keine Urkunde"))</f>
        <v>Siegerurkunde</v>
      </c>
      <c r="T226" s="14">
        <f t="shared" si="10"/>
        <v>2.2</v>
      </c>
    </row>
    <row r="227" ht="19.5" hidden="1" customHeight="1">
      <c r="A227" s="15" t="str">
        <f>IF(ASV_Daten!A221="","",ASV_Daten!A221)</f>
        <v>R7C</v>
      </c>
      <c r="B227" s="15" t="str">
        <f>IF(ASV_Daten!B221="","",ASV_Daten!B221)</f>
        <v>Ketterer</v>
      </c>
      <c r="C227" s="15" t="str">
        <f>IF(ASV_Daten!C221="","",ASV_Daten!C221)</f>
        <v>Melina</v>
      </c>
      <c r="D227" s="15">
        <f>IF(ASV_Daten!D221="","",ASV_Daten!D221)</f>
        <v>2013</v>
      </c>
      <c r="E227" s="15" t="str">
        <f>IF(ASV_Daten!E221="","",ASV_Daten!E221)</f>
        <v>W</v>
      </c>
      <c r="F227" s="16" t="str">
        <f t="shared" si="1"/>
        <v>7</v>
      </c>
      <c r="G227" s="17">
        <f t="shared" si="2"/>
        <v>13</v>
      </c>
      <c r="H227" s="19"/>
      <c r="I227" s="19">
        <f t="shared" si="3"/>
        <v>0</v>
      </c>
      <c r="J227" s="20">
        <v>12.4</v>
      </c>
      <c r="K227" s="19">
        <f t="shared" si="4"/>
        <v>293</v>
      </c>
      <c r="L227" s="20">
        <v>3.09</v>
      </c>
      <c r="M227" s="19">
        <f t="shared" si="5"/>
        <v>319</v>
      </c>
      <c r="N227" s="20">
        <v>18.0</v>
      </c>
      <c r="O227" s="19">
        <f t="shared" si="6"/>
        <v>272</v>
      </c>
      <c r="P227" s="19" t="str">
        <f t="shared" si="7"/>
        <v>Punkte W 7-9</v>
      </c>
      <c r="Q227" s="19" t="str">
        <f t="shared" si="8"/>
        <v>Noten-Matrix-Mädchen</v>
      </c>
      <c r="R227" s="21">
        <f t="shared" si="9"/>
        <v>884</v>
      </c>
      <c r="S227" s="19" t="str">
        <f>IF(R227=0, "Keine Teilnahme", IFERROR(IF(R227&gt;=VLOOKUP(G227&amp;LOWER(E227), Formeln!$H$2:$K$30, 4, FALSE), "Ehrenurkunde", IF(R227&gt;=VLOOKUP(G227&amp;LOWER(E227), Formeln!$H$2:$K$30, 3, FALSE), "Siegerurkunde", "Teilnehmerurkunde")), "Keine Urkunde"))</f>
        <v>Siegerurkunde</v>
      </c>
      <c r="T227" s="22">
        <f t="shared" si="10"/>
        <v>2.4</v>
      </c>
    </row>
    <row r="228" ht="19.5" hidden="1" customHeight="1">
      <c r="A228" s="7" t="str">
        <f>IF(ASV_Daten!A230="","",ASV_Daten!A230)</f>
        <v>R7C</v>
      </c>
      <c r="B228" s="7" t="str">
        <f>IF(ASV_Daten!B230="","",ASV_Daten!B230)</f>
        <v>Wehrle</v>
      </c>
      <c r="C228" s="7" t="str">
        <f>IF(ASV_Daten!C230="","",ASV_Daten!C230)</f>
        <v>Moritz</v>
      </c>
      <c r="D228" s="7">
        <f>IF(ASV_Daten!D230="","",ASV_Daten!D230)</f>
        <v>2013</v>
      </c>
      <c r="E228" s="7" t="str">
        <f>IF(ASV_Daten!E230="","",ASV_Daten!E230)</f>
        <v>M</v>
      </c>
      <c r="F228" s="8" t="str">
        <f t="shared" si="1"/>
        <v>7</v>
      </c>
      <c r="G228" s="9">
        <f t="shared" si="2"/>
        <v>13</v>
      </c>
      <c r="H228" s="27"/>
      <c r="I228" s="11">
        <f t="shared" si="3"/>
        <v>0</v>
      </c>
      <c r="J228" s="12">
        <v>11.1</v>
      </c>
      <c r="K228" s="11">
        <f t="shared" si="4"/>
        <v>378</v>
      </c>
      <c r="L228" s="12">
        <v>4.25</v>
      </c>
      <c r="M228" s="11">
        <f t="shared" si="5"/>
        <v>416</v>
      </c>
      <c r="N228" s="12">
        <v>34.0</v>
      </c>
      <c r="O228" s="11">
        <f t="shared" si="6"/>
        <v>314</v>
      </c>
      <c r="P228" s="11" t="str">
        <f t="shared" si="7"/>
        <v>Punkte M 7-9</v>
      </c>
      <c r="Q228" s="11" t="str">
        <f t="shared" si="8"/>
        <v>Noten-Matrix-Jungen</v>
      </c>
      <c r="R228" s="13">
        <f t="shared" si="9"/>
        <v>1108</v>
      </c>
      <c r="S228" s="11" t="str">
        <f>IF(R228=0, "Keine Teilnahme", IFERROR(IF(R228&gt;=VLOOKUP(G228&amp;LOWER(E228), Formeln!$H$2:$K$30, 4, FALSE), "Ehrenurkunde", IF(R228&gt;=VLOOKUP(G228&amp;LOWER(E228), Formeln!$H$2:$K$30, 3, FALSE), "Siegerurkunde", "Teilnehmerurkunde")), "Keine Urkunde"))</f>
        <v>Ehrenurkunde</v>
      </c>
      <c r="T228" s="14">
        <f t="shared" si="10"/>
        <v>1.3</v>
      </c>
    </row>
    <row r="229" ht="19.5" hidden="1" customHeight="1">
      <c r="A229" s="15" t="str">
        <f>IF(ASV_Daten!A214="","",ASV_Daten!A214)</f>
        <v>R7C</v>
      </c>
      <c r="B229" s="15" t="str">
        <f>IF(ASV_Daten!B214="","",ASV_Daten!B214)</f>
        <v>Böttcher</v>
      </c>
      <c r="C229" s="15" t="str">
        <f>IF(ASV_Daten!C214="","",ASV_Daten!C214)</f>
        <v>Noah</v>
      </c>
      <c r="D229" s="15">
        <f>IF(ASV_Daten!D214="","",ASV_Daten!D214)</f>
        <v>2013</v>
      </c>
      <c r="E229" s="15" t="str">
        <f>IF(ASV_Daten!E214="","",ASV_Daten!E214)</f>
        <v>M</v>
      </c>
      <c r="F229" s="16" t="str">
        <f t="shared" si="1"/>
        <v>7</v>
      </c>
      <c r="G229" s="17">
        <f t="shared" si="2"/>
        <v>13</v>
      </c>
      <c r="H229" s="18">
        <v>0.19375</v>
      </c>
      <c r="I229" s="19">
        <f t="shared" si="3"/>
        <v>235</v>
      </c>
      <c r="J229" s="19"/>
      <c r="K229" s="19">
        <f t="shared" si="4"/>
        <v>0</v>
      </c>
      <c r="L229" s="20">
        <v>3.53</v>
      </c>
      <c r="M229" s="19">
        <f t="shared" si="5"/>
        <v>332</v>
      </c>
      <c r="N229" s="20">
        <v>20.0</v>
      </c>
      <c r="O229" s="19">
        <f t="shared" si="6"/>
        <v>204</v>
      </c>
      <c r="P229" s="19" t="str">
        <f t="shared" si="7"/>
        <v>Punkte M 7-9</v>
      </c>
      <c r="Q229" s="19" t="str">
        <f t="shared" si="8"/>
        <v>Noten-Matrix-Jungen</v>
      </c>
      <c r="R229" s="21">
        <f t="shared" si="9"/>
        <v>771</v>
      </c>
      <c r="S229" s="19" t="str">
        <f>IF(R229=0, "Keine Teilnahme", IFERROR(IF(R229&gt;=VLOOKUP(G229&amp;LOWER(E229), Formeln!$H$2:$K$30, 4, FALSE), "Ehrenurkunde", IF(R229&gt;=VLOOKUP(G229&amp;LOWER(E229), Formeln!$H$2:$K$30, 3, FALSE), "Siegerurkunde", "Teilnehmerurkunde")), "Keine Urkunde"))</f>
        <v>Teilnehmerurkunde</v>
      </c>
      <c r="T229" s="22">
        <f t="shared" si="10"/>
        <v>3.1</v>
      </c>
    </row>
    <row r="230" ht="19.5" hidden="1" customHeight="1">
      <c r="A230" s="7" t="str">
        <f>IF(ASV_Daten!A212="","",ASV_Daten!A212)</f>
        <v>R7C</v>
      </c>
      <c r="B230" s="7" t="str">
        <f>IF(ASV_Daten!B212="","",ASV_Daten!B212)</f>
        <v>Bauer</v>
      </c>
      <c r="C230" s="7" t="str">
        <f>IF(ASV_Daten!C212="","",ASV_Daten!C212)</f>
        <v>Oliver</v>
      </c>
      <c r="D230" s="7">
        <f>IF(ASV_Daten!D212="","",ASV_Daten!D212)</f>
        <v>2011</v>
      </c>
      <c r="E230" s="7" t="str">
        <f>IF(ASV_Daten!E212="","",ASV_Daten!E212)</f>
        <v>M</v>
      </c>
      <c r="F230" s="8" t="str">
        <f t="shared" si="1"/>
        <v>7</v>
      </c>
      <c r="G230" s="9">
        <f t="shared" si="2"/>
        <v>15</v>
      </c>
      <c r="H230" s="11"/>
      <c r="I230" s="11">
        <f t="shared" si="3"/>
        <v>0</v>
      </c>
      <c r="J230" s="12">
        <v>11.0</v>
      </c>
      <c r="K230" s="11">
        <f t="shared" si="4"/>
        <v>387</v>
      </c>
      <c r="L230" s="12">
        <v>4.13</v>
      </c>
      <c r="M230" s="11">
        <f t="shared" si="5"/>
        <v>402</v>
      </c>
      <c r="N230" s="12">
        <v>35.0</v>
      </c>
      <c r="O230" s="11">
        <f t="shared" si="6"/>
        <v>320</v>
      </c>
      <c r="P230" s="11" t="str">
        <f t="shared" si="7"/>
        <v>Punkte M 7-9</v>
      </c>
      <c r="Q230" s="11" t="str">
        <f t="shared" si="8"/>
        <v>Noten-Matrix-Jungen</v>
      </c>
      <c r="R230" s="13">
        <f t="shared" si="9"/>
        <v>1109</v>
      </c>
      <c r="S230" s="11" t="str">
        <f>IF(R230=0, "Keine Teilnahme", IFERROR(IF(R230&gt;=VLOOKUP(G230&amp;LOWER(E230), Formeln!$H$2:$K$30, 4, FALSE), "Ehrenurkunde", IF(R230&gt;=VLOOKUP(G230&amp;LOWER(E230), Formeln!$H$2:$K$30, 3, FALSE), "Siegerurkunde", "Teilnehmerurkunde")), "Keine Urkunde"))</f>
        <v>Siegerurkunde</v>
      </c>
      <c r="T230" s="14">
        <f t="shared" si="10"/>
        <v>2.1</v>
      </c>
    </row>
    <row r="231" ht="19.5" hidden="1" customHeight="1">
      <c r="A231" s="15" t="str">
        <f>IF(ASV_Daten!A213="","",ASV_Daten!A213)</f>
        <v>R7C</v>
      </c>
      <c r="B231" s="15" t="str">
        <f>IF(ASV_Daten!B213="","",ASV_Daten!B213)</f>
        <v>Beladjal</v>
      </c>
      <c r="C231" s="15" t="str">
        <f>IF(ASV_Daten!C213="","",ASV_Daten!C213)</f>
        <v>Oussama</v>
      </c>
      <c r="D231" s="15">
        <f>IF(ASV_Daten!D213="","",ASV_Daten!D213)</f>
        <v>2013</v>
      </c>
      <c r="E231" s="15" t="str">
        <f>IF(ASV_Daten!E213="","",ASV_Daten!E213)</f>
        <v>M</v>
      </c>
      <c r="F231" s="16" t="str">
        <f t="shared" si="1"/>
        <v>7</v>
      </c>
      <c r="G231" s="17">
        <f t="shared" si="2"/>
        <v>13</v>
      </c>
      <c r="H231" s="19"/>
      <c r="I231" s="19">
        <f t="shared" si="3"/>
        <v>0</v>
      </c>
      <c r="J231" s="20">
        <v>13.1</v>
      </c>
      <c r="K231" s="19">
        <f t="shared" si="4"/>
        <v>229</v>
      </c>
      <c r="L231" s="20">
        <v>2.85</v>
      </c>
      <c r="M231" s="19">
        <f t="shared" si="5"/>
        <v>245</v>
      </c>
      <c r="N231" s="20">
        <v>7.5</v>
      </c>
      <c r="O231" s="19">
        <f t="shared" si="6"/>
        <v>64</v>
      </c>
      <c r="P231" s="19" t="str">
        <f t="shared" si="7"/>
        <v>Punkte M 7-9</v>
      </c>
      <c r="Q231" s="19" t="str">
        <f t="shared" si="8"/>
        <v>Noten-Matrix-Jungen</v>
      </c>
      <c r="R231" s="21">
        <f t="shared" si="9"/>
        <v>538</v>
      </c>
      <c r="S231" s="19" t="str">
        <f>IF(R231=0, "Keine Teilnahme", IFERROR(IF(R231&gt;=VLOOKUP(G231&amp;LOWER(E231), Formeln!$H$2:$K$30, 4, FALSE), "Ehrenurkunde", IF(R231&gt;=VLOOKUP(G231&amp;LOWER(E231), Formeln!$H$2:$K$30, 3, FALSE), "Siegerurkunde", "Teilnehmerurkunde")), "Keine Urkunde"))</f>
        <v>Teilnehmerurkunde</v>
      </c>
      <c r="T231" s="22" t="str">
        <f t="shared" si="10"/>
        <v>NOTE</v>
      </c>
    </row>
    <row r="232" ht="19.5" hidden="1" customHeight="1">
      <c r="A232" s="7" t="str">
        <f>IF(ASV_Daten!A224="","",ASV_Daten!A224)</f>
        <v>R7C</v>
      </c>
      <c r="B232" s="7" t="str">
        <f>IF(ASV_Daten!B224="","",ASV_Daten!B224)</f>
        <v>Marx</v>
      </c>
      <c r="C232" s="7" t="str">
        <f>IF(ASV_Daten!C224="","",ASV_Daten!C224)</f>
        <v>Paul</v>
      </c>
      <c r="D232" s="7">
        <f>IF(ASV_Daten!D224="","",ASV_Daten!D224)</f>
        <v>2013</v>
      </c>
      <c r="E232" s="7" t="str">
        <f>IF(ASV_Daten!E224="","",ASV_Daten!E224)</f>
        <v>M</v>
      </c>
      <c r="F232" s="8" t="str">
        <f t="shared" si="1"/>
        <v>7</v>
      </c>
      <c r="G232" s="9">
        <f t="shared" si="2"/>
        <v>13</v>
      </c>
      <c r="H232" s="10">
        <v>0.20833333333333334</v>
      </c>
      <c r="I232" s="11">
        <f t="shared" si="3"/>
        <v>195</v>
      </c>
      <c r="J232" s="11"/>
      <c r="K232" s="11">
        <f t="shared" si="4"/>
        <v>0</v>
      </c>
      <c r="L232" s="12">
        <v>2.93</v>
      </c>
      <c r="M232" s="11">
        <f t="shared" si="5"/>
        <v>256</v>
      </c>
      <c r="N232" s="12">
        <v>19.0</v>
      </c>
      <c r="O232" s="11">
        <f t="shared" si="6"/>
        <v>195</v>
      </c>
      <c r="P232" s="11" t="str">
        <f t="shared" si="7"/>
        <v>Punkte M 7-9</v>
      </c>
      <c r="Q232" s="11" t="str">
        <f t="shared" si="8"/>
        <v>Noten-Matrix-Jungen</v>
      </c>
      <c r="R232" s="13">
        <f t="shared" si="9"/>
        <v>646</v>
      </c>
      <c r="S232" s="11" t="str">
        <f>IF(R232=0, "Keine Teilnahme", IFERROR(IF(R232&gt;=VLOOKUP(G232&amp;LOWER(E232), Formeln!$H$2:$K$30, 4, FALSE), "Ehrenurkunde", IF(R232&gt;=VLOOKUP(G232&amp;LOWER(E232), Formeln!$H$2:$K$30, 3, FALSE), "Siegerurkunde", "Teilnehmerurkunde")), "Keine Urkunde"))</f>
        <v>Teilnehmerurkunde</v>
      </c>
      <c r="T232" s="14">
        <f t="shared" si="10"/>
        <v>4.1</v>
      </c>
    </row>
    <row r="233" ht="19.5" hidden="1" customHeight="1">
      <c r="A233" s="15" t="str">
        <f>IF(ASV_Daten!A229="","",ASV_Daten!A229)</f>
        <v>R7C</v>
      </c>
      <c r="B233" s="15" t="str">
        <f>IF(ASV_Daten!B229="","",ASV_Daten!B229)</f>
        <v>Strübe</v>
      </c>
      <c r="C233" s="15" t="str">
        <f>IF(ASV_Daten!C229="","",ASV_Daten!C229)</f>
        <v>Tarja</v>
      </c>
      <c r="D233" s="15">
        <f>IF(ASV_Daten!D229="","",ASV_Daten!D229)</f>
        <v>2012</v>
      </c>
      <c r="E233" s="15" t="str">
        <f>IF(ASV_Daten!E229="","",ASV_Daten!E229)</f>
        <v>W</v>
      </c>
      <c r="F233" s="16" t="str">
        <f t="shared" si="1"/>
        <v>7</v>
      </c>
      <c r="G233" s="17">
        <f t="shared" si="2"/>
        <v>14</v>
      </c>
      <c r="H233" s="19"/>
      <c r="I233" s="19">
        <f t="shared" si="3"/>
        <v>0</v>
      </c>
      <c r="J233" s="20">
        <v>11.5</v>
      </c>
      <c r="K233" s="19">
        <f t="shared" si="4"/>
        <v>362</v>
      </c>
      <c r="L233" s="20">
        <v>3.05</v>
      </c>
      <c r="M233" s="19">
        <f t="shared" si="5"/>
        <v>313</v>
      </c>
      <c r="N233" s="20">
        <v>23.0</v>
      </c>
      <c r="O233" s="19">
        <f t="shared" si="6"/>
        <v>325</v>
      </c>
      <c r="P233" s="19" t="str">
        <f t="shared" si="7"/>
        <v>Punkte W 7-9</v>
      </c>
      <c r="Q233" s="19" t="str">
        <f t="shared" si="8"/>
        <v>Noten-Matrix-Mädchen</v>
      </c>
      <c r="R233" s="21">
        <f t="shared" si="9"/>
        <v>1000</v>
      </c>
      <c r="S233" s="19" t="str">
        <f>IF(R233=0, "Keine Teilnahme", IFERROR(IF(R233&gt;=VLOOKUP(G233&amp;LOWER(E233), Formeln!$H$2:$K$30, 4, FALSE), "Ehrenurkunde", IF(R233&gt;=VLOOKUP(G233&amp;LOWER(E233), Formeln!$H$2:$K$30, 3, FALSE), "Siegerurkunde", "Teilnehmerurkunde")), "Keine Urkunde"))</f>
        <v>Siegerurkunde</v>
      </c>
      <c r="T233" s="22">
        <f t="shared" si="10"/>
        <v>1.8</v>
      </c>
    </row>
    <row r="234" ht="19.5" hidden="1" customHeight="1">
      <c r="A234" s="7" t="str">
        <f>IF(ASV_Daten!A242="","",ASV_Daten!A242)</f>
        <v>R7D</v>
      </c>
      <c r="B234" s="7" t="str">
        <f>IF(ASV_Daten!B242="","",ASV_Daten!B242)</f>
        <v>Jashanica</v>
      </c>
      <c r="C234" s="7" t="str">
        <f>IF(ASV_Daten!C242="","",ASV_Daten!C242)</f>
        <v>Alea</v>
      </c>
      <c r="D234" s="7">
        <f>IF(ASV_Daten!D242="","",ASV_Daten!D242)</f>
        <v>2013</v>
      </c>
      <c r="E234" s="7" t="str">
        <f>IF(ASV_Daten!E242="","",ASV_Daten!E242)</f>
        <v>W</v>
      </c>
      <c r="F234" s="8" t="str">
        <f t="shared" si="1"/>
        <v>7</v>
      </c>
      <c r="G234" s="9">
        <f t="shared" si="2"/>
        <v>13</v>
      </c>
      <c r="H234" s="11"/>
      <c r="I234" s="11">
        <f t="shared" si="3"/>
        <v>0</v>
      </c>
      <c r="J234" s="11"/>
      <c r="K234" s="11">
        <f t="shared" si="4"/>
        <v>0</v>
      </c>
      <c r="L234" s="11"/>
      <c r="M234" s="11">
        <f t="shared" si="5"/>
        <v>0</v>
      </c>
      <c r="N234" s="11"/>
      <c r="O234" s="11">
        <f t="shared" si="6"/>
        <v>0</v>
      </c>
      <c r="P234" s="11" t="str">
        <f t="shared" si="7"/>
        <v>Punkte W 7-9</v>
      </c>
      <c r="Q234" s="11" t="str">
        <f t="shared" si="8"/>
        <v>Noten-Matrix-Mädchen</v>
      </c>
      <c r="R234" s="13">
        <f t="shared" si="9"/>
        <v>0</v>
      </c>
      <c r="S234" s="11" t="str">
        <f>IF(R234=0, "Keine Teilnahme", IFERROR(IF(R234&gt;=VLOOKUP(G234&amp;LOWER(E234), Formeln!$H$2:$K$30, 4, FALSE), "Ehrenurkunde", IF(R234&gt;=VLOOKUP(G234&amp;LOWER(E234), Formeln!$H$2:$K$30, 3, FALSE), "Siegerurkunde", "Teilnehmerurkunde")), "Keine Urkunde"))</f>
        <v>Keine Teilnahme</v>
      </c>
      <c r="T234" s="14" t="str">
        <f t="shared" si="10"/>
        <v>Keine Teilnahme</v>
      </c>
    </row>
    <row r="235" ht="19.5" hidden="1" customHeight="1">
      <c r="A235" s="15" t="str">
        <f>IF(ASV_Daten!A236="","",ASV_Daten!A236)</f>
        <v>R7D</v>
      </c>
      <c r="B235" s="15" t="str">
        <f>IF(ASV_Daten!B236="","",ASV_Daten!B236)</f>
        <v>Berrehouma</v>
      </c>
      <c r="C235" s="15" t="str">
        <f>IF(ASV_Daten!C236="","",ASV_Daten!C236)</f>
        <v>Amina</v>
      </c>
      <c r="D235" s="15">
        <f>IF(ASV_Daten!D236="","",ASV_Daten!D236)</f>
        <v>2013</v>
      </c>
      <c r="E235" s="15" t="str">
        <f>IF(ASV_Daten!E236="","",ASV_Daten!E236)</f>
        <v>W</v>
      </c>
      <c r="F235" s="16" t="str">
        <f t="shared" si="1"/>
        <v>7</v>
      </c>
      <c r="G235" s="17">
        <f t="shared" si="2"/>
        <v>13</v>
      </c>
      <c r="H235" s="18">
        <v>0.2222222222222222</v>
      </c>
      <c r="I235" s="19">
        <f t="shared" si="3"/>
        <v>73</v>
      </c>
      <c r="J235" s="19"/>
      <c r="K235" s="19">
        <f t="shared" si="4"/>
        <v>0</v>
      </c>
      <c r="L235" s="20">
        <v>2.37</v>
      </c>
      <c r="M235" s="19">
        <f t="shared" si="5"/>
        <v>214</v>
      </c>
      <c r="N235" s="20">
        <v>12.0</v>
      </c>
      <c r="O235" s="19">
        <f t="shared" si="6"/>
        <v>197</v>
      </c>
      <c r="P235" s="19" t="str">
        <f t="shared" si="7"/>
        <v>Punkte W 7-9</v>
      </c>
      <c r="Q235" s="19" t="str">
        <f t="shared" si="8"/>
        <v>Noten-Matrix-Mädchen</v>
      </c>
      <c r="R235" s="21">
        <f t="shared" si="9"/>
        <v>484</v>
      </c>
      <c r="S235" s="19" t="str">
        <f>IF(R235=0, "Keine Teilnahme", IFERROR(IF(R235&gt;=VLOOKUP(G235&amp;LOWER(E235), Formeln!$H$2:$K$30, 4, FALSE), "Ehrenurkunde", IF(R235&gt;=VLOOKUP(G235&amp;LOWER(E235), Formeln!$H$2:$K$30, 3, FALSE), "Siegerurkunde", "Teilnehmerurkunde")), "Keine Urkunde"))</f>
        <v>Teilnehmerurkunde</v>
      </c>
      <c r="T235" s="22" t="str">
        <f t="shared" si="10"/>
        <v>NOTE</v>
      </c>
    </row>
    <row r="236" ht="19.5" hidden="1" customHeight="1">
      <c r="A236" s="7" t="str">
        <f>IF(ASV_Daten!A252="","",ASV_Daten!A252)</f>
        <v>R7D</v>
      </c>
      <c r="B236" s="7" t="str">
        <f>IF(ASV_Daten!B252="","",ASV_Daten!B252)</f>
        <v>Stemmler</v>
      </c>
      <c r="C236" s="7" t="str">
        <f>IF(ASV_Daten!C252="","",ASV_Daten!C252)</f>
        <v>Dave</v>
      </c>
      <c r="D236" s="7">
        <f>IF(ASV_Daten!D252="","",ASV_Daten!D252)</f>
        <v>2011</v>
      </c>
      <c r="E236" s="7" t="str">
        <f>IF(ASV_Daten!E252="","",ASV_Daten!E252)</f>
        <v>M</v>
      </c>
      <c r="F236" s="8" t="str">
        <f t="shared" si="1"/>
        <v>7</v>
      </c>
      <c r="G236" s="9">
        <f t="shared" si="2"/>
        <v>15</v>
      </c>
      <c r="H236" s="11"/>
      <c r="I236" s="11">
        <f t="shared" si="3"/>
        <v>0</v>
      </c>
      <c r="J236" s="11"/>
      <c r="K236" s="11">
        <f t="shared" si="4"/>
        <v>0</v>
      </c>
      <c r="L236" s="11"/>
      <c r="M236" s="11">
        <f t="shared" si="5"/>
        <v>0</v>
      </c>
      <c r="N236" s="11"/>
      <c r="O236" s="11">
        <f t="shared" si="6"/>
        <v>0</v>
      </c>
      <c r="P236" s="11" t="str">
        <f t="shared" si="7"/>
        <v>Punkte M 7-9</v>
      </c>
      <c r="Q236" s="11" t="str">
        <f t="shared" si="8"/>
        <v>Noten-Matrix-Jungen</v>
      </c>
      <c r="R236" s="13">
        <f t="shared" si="9"/>
        <v>0</v>
      </c>
      <c r="S236" s="11" t="str">
        <f>IF(R236=0, "Keine Teilnahme", IFERROR(IF(R236&gt;=VLOOKUP(G236&amp;LOWER(E236), Formeln!$H$2:$K$30, 4, FALSE), "Ehrenurkunde", IF(R236&gt;=VLOOKUP(G236&amp;LOWER(E236), Formeln!$H$2:$K$30, 3, FALSE), "Siegerurkunde", "Teilnehmerurkunde")), "Keine Urkunde"))</f>
        <v>Keine Teilnahme</v>
      </c>
      <c r="T236" s="14" t="str">
        <f t="shared" si="10"/>
        <v>Keine Teilnahme</v>
      </c>
    </row>
    <row r="237" ht="19.5" hidden="1" customHeight="1">
      <c r="A237" s="15" t="str">
        <f>IF(ASV_Daten!A251="","",ASV_Daten!A251)</f>
        <v>R7D</v>
      </c>
      <c r="B237" s="15" t="str">
        <f>IF(ASV_Daten!B251="","",ASV_Daten!B251)</f>
        <v>Shabani</v>
      </c>
      <c r="C237" s="15" t="str">
        <f>IF(ASV_Daten!C251="","",ASV_Daten!C251)</f>
        <v>Elton</v>
      </c>
      <c r="D237" s="15">
        <f>IF(ASV_Daten!D251="","",ASV_Daten!D251)</f>
        <v>2013</v>
      </c>
      <c r="E237" s="15" t="str">
        <f>IF(ASV_Daten!E251="","",ASV_Daten!E251)</f>
        <v>M</v>
      </c>
      <c r="F237" s="16" t="str">
        <f t="shared" si="1"/>
        <v>7</v>
      </c>
      <c r="G237" s="17">
        <f t="shared" si="2"/>
        <v>13</v>
      </c>
      <c r="H237" s="19"/>
      <c r="I237" s="19">
        <f t="shared" si="3"/>
        <v>0</v>
      </c>
      <c r="J237" s="20">
        <v>13.5</v>
      </c>
      <c r="K237" s="19">
        <f t="shared" si="4"/>
        <v>204</v>
      </c>
      <c r="L237" s="20">
        <v>3.13</v>
      </c>
      <c r="M237" s="19">
        <f t="shared" si="5"/>
        <v>282</v>
      </c>
      <c r="N237" s="20">
        <v>18.5</v>
      </c>
      <c r="O237" s="19">
        <f t="shared" si="6"/>
        <v>190</v>
      </c>
      <c r="P237" s="19" t="str">
        <f t="shared" si="7"/>
        <v>Punkte M 7-9</v>
      </c>
      <c r="Q237" s="19" t="str">
        <f t="shared" si="8"/>
        <v>Noten-Matrix-Jungen</v>
      </c>
      <c r="R237" s="21">
        <f t="shared" si="9"/>
        <v>676</v>
      </c>
      <c r="S237" s="19" t="str">
        <f>IF(R237=0, "Keine Teilnahme", IFERROR(IF(R237&gt;=VLOOKUP(G237&amp;LOWER(E237), Formeln!$H$2:$K$30, 4, FALSE), "Ehrenurkunde", IF(R237&gt;=VLOOKUP(G237&amp;LOWER(E237), Formeln!$H$2:$K$30, 3, FALSE), "Siegerurkunde", "Teilnehmerurkunde")), "Keine Urkunde"))</f>
        <v>Teilnehmerurkunde</v>
      </c>
      <c r="T237" s="22">
        <f t="shared" si="10"/>
        <v>3.8</v>
      </c>
    </row>
    <row r="238" ht="19.5" hidden="1" customHeight="1">
      <c r="A238" s="7" t="str">
        <f>IF(ASV_Daten!A235="","",ASV_Daten!A235)</f>
        <v>R7D</v>
      </c>
      <c r="B238" s="7" t="str">
        <f>IF(ASV_Daten!B235="","",ASV_Daten!B235)</f>
        <v>Babijanski</v>
      </c>
      <c r="C238" s="7" t="str">
        <f>IF(ASV_Daten!C235="","",ASV_Daten!C235)</f>
        <v>Ena</v>
      </c>
      <c r="D238" s="7">
        <f>IF(ASV_Daten!D235="","",ASV_Daten!D235)</f>
        <v>2013</v>
      </c>
      <c r="E238" s="7" t="str">
        <f>IF(ASV_Daten!E235="","",ASV_Daten!E235)</f>
        <v>W</v>
      </c>
      <c r="F238" s="8" t="str">
        <f t="shared" si="1"/>
        <v>7</v>
      </c>
      <c r="G238" s="9">
        <f t="shared" si="2"/>
        <v>13</v>
      </c>
      <c r="H238" s="11"/>
      <c r="I238" s="11">
        <f t="shared" si="3"/>
        <v>0</v>
      </c>
      <c r="J238" s="11"/>
      <c r="K238" s="11">
        <f t="array" ref="K238">IF(J238="", 0, IFERROR(XLOOKUP(#REF!, INDIRECT("'"&amp;P238&amp;"'!E4:E"), INDIRECT("'"&amp;P238&amp;"'!F4:F"), 0, 1), 0))</f>
        <v>0</v>
      </c>
      <c r="L238" s="12">
        <v>2.49</v>
      </c>
      <c r="M238" s="11">
        <f t="shared" si="5"/>
        <v>232</v>
      </c>
      <c r="N238" s="12">
        <v>12.5</v>
      </c>
      <c r="O238" s="11">
        <f t="shared" si="6"/>
        <v>204</v>
      </c>
      <c r="P238" s="11" t="str">
        <f t="shared" si="7"/>
        <v>Punkte W 7-9</v>
      </c>
      <c r="Q238" s="11" t="str">
        <f t="shared" si="8"/>
        <v>Noten-Matrix-Mädchen</v>
      </c>
      <c r="R238" s="13">
        <f t="shared" si="9"/>
        <v>436</v>
      </c>
      <c r="S238" s="11" t="str">
        <f>IF(R238=0, "Keine Teilnahme", IFERROR(IF(R238&gt;=VLOOKUP(G238&amp;LOWER(E238), Formeln!$H$2:$K$30, 4, FALSE), "Ehrenurkunde", IF(R238&gt;=VLOOKUP(G238&amp;LOWER(E238), Formeln!$H$2:$K$30, 3, FALSE), "Siegerurkunde", "Teilnehmerurkunde")), "Keine Urkunde"))</f>
        <v>Teilnehmerurkunde</v>
      </c>
      <c r="T238" s="14" t="str">
        <f t="shared" si="10"/>
        <v>NOTE</v>
      </c>
    </row>
    <row r="239" ht="19.5" hidden="1" customHeight="1">
      <c r="A239" s="15" t="str">
        <f>IF(ASV_Daten!A247="","",ASV_Daten!A247)</f>
        <v>R7D</v>
      </c>
      <c r="B239" s="15" t="str">
        <f>IF(ASV_Daten!B247="","",ASV_Daten!B247)</f>
        <v>Kramer</v>
      </c>
      <c r="C239" s="15" t="str">
        <f>IF(ASV_Daten!C247="","",ASV_Daten!C247)</f>
        <v>Finn</v>
      </c>
      <c r="D239" s="15">
        <f>IF(ASV_Daten!D247="","",ASV_Daten!D247)</f>
        <v>2013</v>
      </c>
      <c r="E239" s="15" t="str">
        <f>IF(ASV_Daten!E247="","",ASV_Daten!E247)</f>
        <v>M</v>
      </c>
      <c r="F239" s="16" t="str">
        <f t="shared" si="1"/>
        <v>7</v>
      </c>
      <c r="G239" s="17">
        <f t="shared" si="2"/>
        <v>13</v>
      </c>
      <c r="H239" s="19"/>
      <c r="I239" s="19">
        <f t="shared" si="3"/>
        <v>0</v>
      </c>
      <c r="J239" s="33">
        <v>12.3</v>
      </c>
      <c r="K239" s="19">
        <f t="array" ref="K239">IF(J238="", 0, IFERROR(XLOOKUP(J238, INDIRECT("'"&amp;P239&amp;"'!E4:E"), INDIRECT("'"&amp;P239&amp;"'!F4:F"), 0, 1), 0))</f>
        <v>0</v>
      </c>
      <c r="L239" s="20">
        <v>3.85</v>
      </c>
      <c r="M239" s="19">
        <f t="shared" si="5"/>
        <v>370</v>
      </c>
      <c r="N239" s="20">
        <v>25.5</v>
      </c>
      <c r="O239" s="19">
        <f t="shared" si="6"/>
        <v>251</v>
      </c>
      <c r="P239" s="19" t="str">
        <f t="shared" si="7"/>
        <v>Punkte M 7-9</v>
      </c>
      <c r="Q239" s="19" t="str">
        <f t="shared" si="8"/>
        <v>Noten-Matrix-Jungen</v>
      </c>
      <c r="R239" s="21">
        <f t="shared" si="9"/>
        <v>621</v>
      </c>
      <c r="S239" s="19" t="str">
        <f>IF(R239=0, "Keine Teilnahme", IFERROR(IF(R239&gt;=VLOOKUP(G239&amp;LOWER(E239), Formeln!$H$2:$K$30, 4, FALSE), "Ehrenurkunde", IF(R239&gt;=VLOOKUP(G239&amp;LOWER(E239), Formeln!$H$2:$K$30, 3, FALSE), "Siegerurkunde", "Teilnehmerurkunde")), "Keine Urkunde"))</f>
        <v>Teilnehmerurkunde</v>
      </c>
      <c r="T239" s="22" t="str">
        <f t="shared" si="10"/>
        <v>NOTE</v>
      </c>
    </row>
    <row r="240" ht="19.5" hidden="1" customHeight="1">
      <c r="A240" s="7" t="str">
        <f>IF(ASV_Daten!A234="","",ASV_Daten!A234)</f>
        <v>R7D</v>
      </c>
      <c r="B240" s="7" t="str">
        <f>IF(ASV_Daten!B234="","",ASV_Daten!B234)</f>
        <v>Al Fahd</v>
      </c>
      <c r="C240" s="7" t="str">
        <f>IF(ASV_Daten!C234="","",ASV_Daten!C234)</f>
        <v>Hamza</v>
      </c>
      <c r="D240" s="7">
        <f>IF(ASV_Daten!D234="","",ASV_Daten!D234)</f>
        <v>2013</v>
      </c>
      <c r="E240" s="7" t="str">
        <f>IF(ASV_Daten!E234="","",ASV_Daten!E234)</f>
        <v>M</v>
      </c>
      <c r="F240" s="8" t="str">
        <f t="shared" si="1"/>
        <v>7</v>
      </c>
      <c r="G240" s="9">
        <f t="shared" si="2"/>
        <v>13</v>
      </c>
      <c r="H240" s="11"/>
      <c r="I240" s="11">
        <f t="shared" si="3"/>
        <v>0</v>
      </c>
      <c r="J240" s="11"/>
      <c r="K240" s="11">
        <f t="shared" ref="K240:K474" si="11">IF(J240="", 0, IFERROR(XLOOKUP(J240, INDIRECT("'"&amp;P240&amp;"'!E4:E"), INDIRECT("'"&amp;P240&amp;"'!F4:F"), 0, 1), 0))</f>
        <v>0</v>
      </c>
      <c r="L240" s="12">
        <v>2.69</v>
      </c>
      <c r="M240" s="11">
        <f t="shared" si="5"/>
        <v>223</v>
      </c>
      <c r="N240" s="12">
        <v>19.0</v>
      </c>
      <c r="O240" s="11">
        <f t="shared" si="6"/>
        <v>195</v>
      </c>
      <c r="P240" s="11" t="str">
        <f t="shared" si="7"/>
        <v>Punkte M 7-9</v>
      </c>
      <c r="Q240" s="11" t="str">
        <f t="shared" si="8"/>
        <v>Noten-Matrix-Jungen</v>
      </c>
      <c r="R240" s="13">
        <f t="shared" si="9"/>
        <v>418</v>
      </c>
      <c r="S240" s="11" t="str">
        <f>IF(R240=0, "Keine Teilnahme", IFERROR(IF(R240&gt;=VLOOKUP(G240&amp;LOWER(E240), Formeln!$H$2:$K$30, 4, FALSE), "Ehrenurkunde", IF(R240&gt;=VLOOKUP(G240&amp;LOWER(E240), Formeln!$H$2:$K$30, 3, FALSE), "Siegerurkunde", "Teilnehmerurkunde")), "Keine Urkunde"))</f>
        <v>Teilnehmerurkunde</v>
      </c>
      <c r="T240" s="14" t="str">
        <f t="shared" si="10"/>
        <v>NOTE</v>
      </c>
    </row>
    <row r="241" ht="19.5" hidden="1" customHeight="1">
      <c r="A241" s="15" t="str">
        <f>IF(ASV_Daten!A248="","",ASV_Daten!A248)</f>
        <v>R7D</v>
      </c>
      <c r="B241" s="15" t="str">
        <f>IF(ASV_Daten!B248="","",ASV_Daten!B248)</f>
        <v>Laubis</v>
      </c>
      <c r="C241" s="15" t="str">
        <f>IF(ASV_Daten!C248="","",ASV_Daten!C248)</f>
        <v>Hannah</v>
      </c>
      <c r="D241" s="15">
        <f>IF(ASV_Daten!D248="","",ASV_Daten!D248)</f>
        <v>2012</v>
      </c>
      <c r="E241" s="15" t="str">
        <f>IF(ASV_Daten!E248="","",ASV_Daten!E248)</f>
        <v>W</v>
      </c>
      <c r="F241" s="16" t="str">
        <f t="shared" si="1"/>
        <v>7</v>
      </c>
      <c r="G241" s="17">
        <f t="shared" si="2"/>
        <v>14</v>
      </c>
      <c r="H241" s="19"/>
      <c r="I241" s="19">
        <f t="shared" si="3"/>
        <v>0</v>
      </c>
      <c r="J241" s="19"/>
      <c r="K241" s="19">
        <f t="shared" si="11"/>
        <v>0</v>
      </c>
      <c r="L241" s="19"/>
      <c r="M241" s="19">
        <f t="shared" si="5"/>
        <v>0</v>
      </c>
      <c r="N241" s="19"/>
      <c r="O241" s="19">
        <f t="shared" si="6"/>
        <v>0</v>
      </c>
      <c r="P241" s="19" t="str">
        <f t="shared" si="7"/>
        <v>Punkte W 7-9</v>
      </c>
      <c r="Q241" s="19" t="str">
        <f t="shared" si="8"/>
        <v>Noten-Matrix-Mädchen</v>
      </c>
      <c r="R241" s="21">
        <f t="shared" si="9"/>
        <v>0</v>
      </c>
      <c r="S241" s="19" t="str">
        <f>IF(R241=0, "Keine Teilnahme", IFERROR(IF(R241&gt;=VLOOKUP(G241&amp;LOWER(E241), Formeln!$H$2:$K$30, 4, FALSE), "Ehrenurkunde", IF(R241&gt;=VLOOKUP(G241&amp;LOWER(E241), Formeln!$H$2:$K$30, 3, FALSE), "Siegerurkunde", "Teilnehmerurkunde")), "Keine Urkunde"))</f>
        <v>Keine Teilnahme</v>
      </c>
      <c r="T241" s="22" t="str">
        <f t="shared" si="10"/>
        <v>Keine Teilnahme</v>
      </c>
    </row>
    <row r="242" ht="19.5" hidden="1" customHeight="1">
      <c r="A242" s="7" t="str">
        <f>IF(ASV_Daten!A237="","",ASV_Daten!A237)</f>
        <v>R7D</v>
      </c>
      <c r="B242" s="7" t="str">
        <f>IF(ASV_Daten!B237="","",ASV_Daten!B237)</f>
        <v>Borodulin</v>
      </c>
      <c r="C242" s="7" t="str">
        <f>IF(ASV_Daten!C237="","",ASV_Daten!C237)</f>
        <v>Iwan</v>
      </c>
      <c r="D242" s="7">
        <f>IF(ASV_Daten!D237="","",ASV_Daten!D237)</f>
        <v>2012</v>
      </c>
      <c r="E242" s="7" t="str">
        <f>IF(ASV_Daten!E237="","",ASV_Daten!E237)</f>
        <v>M</v>
      </c>
      <c r="F242" s="8" t="str">
        <f t="shared" si="1"/>
        <v>7</v>
      </c>
      <c r="G242" s="9">
        <f t="shared" si="2"/>
        <v>14</v>
      </c>
      <c r="H242" s="11"/>
      <c r="I242" s="11">
        <f t="shared" si="3"/>
        <v>0</v>
      </c>
      <c r="J242" s="12">
        <v>12.2</v>
      </c>
      <c r="K242" s="11">
        <f t="shared" si="11"/>
        <v>290</v>
      </c>
      <c r="L242" s="12">
        <v>4.01</v>
      </c>
      <c r="M242" s="11">
        <f t="shared" si="5"/>
        <v>389</v>
      </c>
      <c r="N242" s="12">
        <v>22.0</v>
      </c>
      <c r="O242" s="11">
        <f t="shared" si="6"/>
        <v>222</v>
      </c>
      <c r="P242" s="11" t="str">
        <f t="shared" si="7"/>
        <v>Punkte M 7-9</v>
      </c>
      <c r="Q242" s="11" t="str">
        <f t="shared" si="8"/>
        <v>Noten-Matrix-Jungen</v>
      </c>
      <c r="R242" s="13">
        <f t="shared" si="9"/>
        <v>901</v>
      </c>
      <c r="S242" s="11" t="str">
        <f>IF(R242=0, "Keine Teilnahme", IFERROR(IF(R242&gt;=VLOOKUP(G242&amp;LOWER(E242), Formeln!$H$2:$K$30, 4, FALSE), "Ehrenurkunde", IF(R242&gt;=VLOOKUP(G242&amp;LOWER(E242), Formeln!$H$2:$K$30, 3, FALSE), "Siegerurkunde", "Teilnehmerurkunde")), "Keine Urkunde"))</f>
        <v>Siegerurkunde</v>
      </c>
      <c r="T242" s="14">
        <f t="shared" si="10"/>
        <v>2.7</v>
      </c>
    </row>
    <row r="243" ht="19.5" hidden="1" customHeight="1">
      <c r="A243" s="15" t="str">
        <f>IF(ASV_Daten!A241="","",ASV_Daten!A241)</f>
        <v>R7D</v>
      </c>
      <c r="B243" s="15" t="str">
        <f>IF(ASV_Daten!B241="","",ASV_Daten!B241)</f>
        <v>Dunn</v>
      </c>
      <c r="C243" s="15" t="str">
        <f>IF(ASV_Daten!C241="","",ASV_Daten!C241)</f>
        <v>Kilian</v>
      </c>
      <c r="D243" s="15">
        <f>IF(ASV_Daten!D241="","",ASV_Daten!D241)</f>
        <v>2012</v>
      </c>
      <c r="E243" s="15" t="str">
        <f>IF(ASV_Daten!E241="","",ASV_Daten!E241)</f>
        <v>M</v>
      </c>
      <c r="F243" s="16" t="str">
        <f t="shared" si="1"/>
        <v>7</v>
      </c>
      <c r="G243" s="17">
        <f t="shared" si="2"/>
        <v>14</v>
      </c>
      <c r="H243" s="18">
        <v>0.14652777777777778</v>
      </c>
      <c r="I243" s="19">
        <f t="shared" si="3"/>
        <v>430</v>
      </c>
      <c r="J243" s="19"/>
      <c r="K243" s="19">
        <f t="shared" si="11"/>
        <v>0</v>
      </c>
      <c r="L243" s="20">
        <v>4.17</v>
      </c>
      <c r="M243" s="19">
        <f t="shared" si="5"/>
        <v>407</v>
      </c>
      <c r="N243" s="20">
        <v>26.0</v>
      </c>
      <c r="O243" s="19">
        <f t="shared" si="6"/>
        <v>255</v>
      </c>
      <c r="P243" s="19" t="str">
        <f t="shared" si="7"/>
        <v>Punkte M 7-9</v>
      </c>
      <c r="Q243" s="19" t="str">
        <f t="shared" si="8"/>
        <v>Noten-Matrix-Jungen</v>
      </c>
      <c r="R243" s="21">
        <f t="shared" si="9"/>
        <v>1092</v>
      </c>
      <c r="S243" s="19" t="str">
        <f>IF(R243=0, "Keine Teilnahme", IFERROR(IF(R243&gt;=VLOOKUP(G243&amp;LOWER(E243), Formeln!$H$2:$K$30, 4, FALSE), "Ehrenurkunde", IF(R243&gt;=VLOOKUP(G243&amp;LOWER(E243), Formeln!$H$2:$K$30, 3, FALSE), "Siegerurkunde", "Teilnehmerurkunde")), "Keine Urkunde"))</f>
        <v>Siegerurkunde</v>
      </c>
      <c r="T243" s="22">
        <f t="shared" si="10"/>
        <v>1.7</v>
      </c>
    </row>
    <row r="244" ht="19.5" hidden="1" customHeight="1">
      <c r="A244" s="7" t="str">
        <f>IF(ASV_Daten!A239="","",ASV_Daten!A239)</f>
        <v>R7D</v>
      </c>
      <c r="B244" s="7" t="str">
        <f>IF(ASV_Daten!B239="","",ASV_Daten!B239)</f>
        <v>Deck</v>
      </c>
      <c r="C244" s="7" t="str">
        <f>IF(ASV_Daten!C239="","",ASV_Daten!C239)</f>
        <v>Laurenz</v>
      </c>
      <c r="D244" s="7">
        <f>IF(ASV_Daten!D239="","",ASV_Daten!D239)</f>
        <v>2013</v>
      </c>
      <c r="E244" s="7" t="str">
        <f>IF(ASV_Daten!E239="","",ASV_Daten!E239)</f>
        <v>M</v>
      </c>
      <c r="F244" s="8" t="str">
        <f t="shared" si="1"/>
        <v>7</v>
      </c>
      <c r="G244" s="9">
        <f t="shared" si="2"/>
        <v>13</v>
      </c>
      <c r="H244" s="11"/>
      <c r="I244" s="11">
        <f t="shared" si="3"/>
        <v>0</v>
      </c>
      <c r="J244" s="11"/>
      <c r="K244" s="11">
        <f t="shared" si="11"/>
        <v>0</v>
      </c>
      <c r="L244" s="11"/>
      <c r="M244" s="11">
        <f t="shared" si="5"/>
        <v>0</v>
      </c>
      <c r="N244" s="11"/>
      <c r="O244" s="11">
        <f t="shared" si="6"/>
        <v>0</v>
      </c>
      <c r="P244" s="11" t="str">
        <f t="shared" si="7"/>
        <v>Punkte M 7-9</v>
      </c>
      <c r="Q244" s="11" t="str">
        <f t="shared" si="8"/>
        <v>Noten-Matrix-Jungen</v>
      </c>
      <c r="R244" s="13">
        <f t="shared" si="9"/>
        <v>0</v>
      </c>
      <c r="S244" s="11" t="str">
        <f>IF(R244=0, "Keine Teilnahme", IFERROR(IF(R244&gt;=VLOOKUP(G244&amp;LOWER(E244), Formeln!$H$2:$K$30, 4, FALSE), "Ehrenurkunde", IF(R244&gt;=VLOOKUP(G244&amp;LOWER(E244), Formeln!$H$2:$K$30, 3, FALSE), "Siegerurkunde", "Teilnehmerurkunde")), "Keine Urkunde"))</f>
        <v>Keine Teilnahme</v>
      </c>
      <c r="T244" s="14" t="str">
        <f t="shared" si="10"/>
        <v>Keine Teilnahme</v>
      </c>
    </row>
    <row r="245" ht="19.5" hidden="1" customHeight="1">
      <c r="A245" s="15" t="str">
        <f>IF(ASV_Daten!A244="","",ASV_Daten!A244)</f>
        <v>R7D</v>
      </c>
      <c r="B245" s="15" t="str">
        <f>IF(ASV_Daten!B244="","",ASV_Daten!B244)</f>
        <v>Kienzler</v>
      </c>
      <c r="C245" s="15" t="str">
        <f>IF(ASV_Daten!C244="","",ASV_Daten!C244)</f>
        <v>Lea</v>
      </c>
      <c r="D245" s="15">
        <f>IF(ASV_Daten!D244="","",ASV_Daten!D244)</f>
        <v>2013</v>
      </c>
      <c r="E245" s="15" t="str">
        <f>IF(ASV_Daten!E244="","",ASV_Daten!E244)</f>
        <v>W</v>
      </c>
      <c r="F245" s="16" t="str">
        <f t="shared" si="1"/>
        <v>7</v>
      </c>
      <c r="G245" s="17">
        <f t="shared" si="2"/>
        <v>13</v>
      </c>
      <c r="H245" s="25"/>
      <c r="I245" s="19">
        <f t="shared" si="3"/>
        <v>0</v>
      </c>
      <c r="J245" s="19"/>
      <c r="K245" s="19">
        <f t="shared" si="11"/>
        <v>0</v>
      </c>
      <c r="L245" s="19"/>
      <c r="M245" s="19">
        <f t="shared" si="5"/>
        <v>0</v>
      </c>
      <c r="N245" s="19"/>
      <c r="O245" s="19">
        <f t="shared" si="6"/>
        <v>0</v>
      </c>
      <c r="P245" s="19" t="str">
        <f t="shared" si="7"/>
        <v>Punkte W 7-9</v>
      </c>
      <c r="Q245" s="19" t="str">
        <f t="shared" si="8"/>
        <v>Noten-Matrix-Mädchen</v>
      </c>
      <c r="R245" s="21">
        <f t="shared" si="9"/>
        <v>0</v>
      </c>
      <c r="S245" s="19" t="str">
        <f>IF(R245=0, "Keine Teilnahme", IFERROR(IF(R245&gt;=VLOOKUP(G245&amp;LOWER(E245), Formeln!$H$2:$K$30, 4, FALSE), "Ehrenurkunde", IF(R245&gt;=VLOOKUP(G245&amp;LOWER(E245), Formeln!$H$2:$K$30, 3, FALSE), "Siegerurkunde", "Teilnehmerurkunde")), "Keine Urkunde"))</f>
        <v>Keine Teilnahme</v>
      </c>
      <c r="T245" s="22" t="str">
        <f t="shared" si="10"/>
        <v>Keine Teilnahme</v>
      </c>
    </row>
    <row r="246" ht="19.5" hidden="1" customHeight="1">
      <c r="A246" s="7" t="str">
        <f>IF(ASV_Daten!A253="","",ASV_Daten!A253)</f>
        <v>R7D</v>
      </c>
      <c r="B246" s="7" t="str">
        <f>IF(ASV_Daten!B253="","",ASV_Daten!B253)</f>
        <v>Weiß</v>
      </c>
      <c r="C246" s="7" t="str">
        <f>IF(ASV_Daten!C253="","",ASV_Daten!C253)</f>
        <v>Lea</v>
      </c>
      <c r="D246" s="7">
        <f>IF(ASV_Daten!D253="","",ASV_Daten!D253)</f>
        <v>2013</v>
      </c>
      <c r="E246" s="7" t="str">
        <f>IF(ASV_Daten!E253="","",ASV_Daten!E253)</f>
        <v>W</v>
      </c>
      <c r="F246" s="8" t="str">
        <f t="shared" si="1"/>
        <v>7</v>
      </c>
      <c r="G246" s="9">
        <f t="shared" si="2"/>
        <v>13</v>
      </c>
      <c r="H246" s="11"/>
      <c r="I246" s="11">
        <f t="shared" si="3"/>
        <v>0</v>
      </c>
      <c r="J246" s="12">
        <v>13.1</v>
      </c>
      <c r="K246" s="11">
        <f t="shared" si="11"/>
        <v>246</v>
      </c>
      <c r="L246" s="12">
        <v>3.45</v>
      </c>
      <c r="M246" s="11">
        <f t="shared" si="5"/>
        <v>367</v>
      </c>
      <c r="N246" s="12">
        <v>19.5</v>
      </c>
      <c r="O246" s="11">
        <f t="shared" si="6"/>
        <v>288</v>
      </c>
      <c r="P246" s="11" t="str">
        <f t="shared" si="7"/>
        <v>Punkte W 7-9</v>
      </c>
      <c r="Q246" s="11" t="str">
        <f t="shared" si="8"/>
        <v>Noten-Matrix-Mädchen</v>
      </c>
      <c r="R246" s="13">
        <f t="shared" si="9"/>
        <v>901</v>
      </c>
      <c r="S246" s="11" t="str">
        <f>IF(R246=0, "Keine Teilnahme", IFERROR(IF(R246&gt;=VLOOKUP(G246&amp;LOWER(E246), Formeln!$H$2:$K$30, 4, FALSE), "Ehrenurkunde", IF(R246&gt;=VLOOKUP(G246&amp;LOWER(E246), Formeln!$H$2:$K$30, 3, FALSE), "Siegerurkunde", "Teilnehmerurkunde")), "Keine Urkunde"))</f>
        <v>Siegerurkunde</v>
      </c>
      <c r="T246" s="14">
        <f t="shared" si="10"/>
        <v>2.2</v>
      </c>
    </row>
    <row r="247" ht="19.5" hidden="1" customHeight="1">
      <c r="A247" s="15" t="str">
        <f>IF(ASV_Daten!A245="","",ASV_Daten!A245)</f>
        <v>R7D</v>
      </c>
      <c r="B247" s="15" t="str">
        <f>IF(ASV_Daten!B245="","",ASV_Daten!B245)</f>
        <v>Kisser</v>
      </c>
      <c r="C247" s="15" t="str">
        <f>IF(ASV_Daten!C245="","",ASV_Daten!C245)</f>
        <v>Liam</v>
      </c>
      <c r="D247" s="15">
        <f>IF(ASV_Daten!D245="","",ASV_Daten!D245)</f>
        <v>2012</v>
      </c>
      <c r="E247" s="15" t="str">
        <f>IF(ASV_Daten!E245="","",ASV_Daten!E245)</f>
        <v>M</v>
      </c>
      <c r="F247" s="16" t="str">
        <f t="shared" si="1"/>
        <v>7</v>
      </c>
      <c r="G247" s="17">
        <f t="shared" si="2"/>
        <v>14</v>
      </c>
      <c r="H247" s="19"/>
      <c r="I247" s="19">
        <f t="shared" si="3"/>
        <v>0</v>
      </c>
      <c r="J247" s="20">
        <v>11.7</v>
      </c>
      <c r="K247" s="19">
        <f t="shared" si="11"/>
        <v>328</v>
      </c>
      <c r="L247" s="20">
        <v>4.13</v>
      </c>
      <c r="M247" s="19">
        <f t="shared" si="5"/>
        <v>402</v>
      </c>
      <c r="N247" s="20">
        <v>34.0</v>
      </c>
      <c r="O247" s="19">
        <f t="shared" si="6"/>
        <v>314</v>
      </c>
      <c r="P247" s="19" t="str">
        <f t="shared" si="7"/>
        <v>Punkte M 7-9</v>
      </c>
      <c r="Q247" s="19" t="str">
        <f t="shared" si="8"/>
        <v>Noten-Matrix-Jungen</v>
      </c>
      <c r="R247" s="21">
        <f t="shared" si="9"/>
        <v>1044</v>
      </c>
      <c r="S247" s="19" t="str">
        <f>IF(R247=0, "Keine Teilnahme", IFERROR(IF(R247&gt;=VLOOKUP(G247&amp;LOWER(E247), Formeln!$H$2:$K$30, 4, FALSE), "Ehrenurkunde", IF(R247&gt;=VLOOKUP(G247&amp;LOWER(E247), Formeln!$H$2:$K$30, 3, FALSE), "Siegerurkunde", "Teilnehmerurkunde")), "Keine Urkunde"))</f>
        <v>Siegerurkunde</v>
      </c>
      <c r="T247" s="22">
        <f t="shared" si="10"/>
        <v>2</v>
      </c>
    </row>
    <row r="248" ht="19.5" hidden="1" customHeight="1">
      <c r="A248" s="7" t="str">
        <f>IF(ASV_Daten!A233="","",ASV_Daten!A233)</f>
        <v>R7D</v>
      </c>
      <c r="B248" s="7" t="str">
        <f>IF(ASV_Daten!B233="","",ASV_Daten!B233)</f>
        <v>Ackermann</v>
      </c>
      <c r="C248" s="7" t="str">
        <f>IF(ASV_Daten!C233="","",ASV_Daten!C233)</f>
        <v>Luke</v>
      </c>
      <c r="D248" s="7">
        <f>IF(ASV_Daten!D233="","",ASV_Daten!D233)</f>
        <v>2013</v>
      </c>
      <c r="E248" s="7" t="str">
        <f>IF(ASV_Daten!E233="","",ASV_Daten!E233)</f>
        <v>M</v>
      </c>
      <c r="F248" s="8" t="str">
        <f t="shared" si="1"/>
        <v>7</v>
      </c>
      <c r="G248" s="9">
        <f t="shared" si="2"/>
        <v>13</v>
      </c>
      <c r="H248" s="11"/>
      <c r="I248" s="11">
        <f t="shared" si="3"/>
        <v>0</v>
      </c>
      <c r="J248" s="12">
        <v>12.2</v>
      </c>
      <c r="K248" s="11">
        <f t="shared" si="11"/>
        <v>290</v>
      </c>
      <c r="L248" s="12">
        <v>4.01</v>
      </c>
      <c r="M248" s="11">
        <f t="shared" si="5"/>
        <v>389</v>
      </c>
      <c r="N248" s="12">
        <v>33.5</v>
      </c>
      <c r="O248" s="11">
        <f t="shared" si="6"/>
        <v>310</v>
      </c>
      <c r="P248" s="11" t="str">
        <f t="shared" si="7"/>
        <v>Punkte M 7-9</v>
      </c>
      <c r="Q248" s="11" t="str">
        <f t="shared" si="8"/>
        <v>Noten-Matrix-Jungen</v>
      </c>
      <c r="R248" s="13">
        <f t="shared" si="9"/>
        <v>989</v>
      </c>
      <c r="S248" s="11" t="str">
        <f>IF(R248=0, "Keine Teilnahme", IFERROR(IF(R248&gt;=VLOOKUP(G248&amp;LOWER(E248), Formeln!$H$2:$K$30, 4, FALSE), "Ehrenurkunde", IF(R248&gt;=VLOOKUP(G248&amp;LOWER(E248), Formeln!$H$2:$K$30, 3, FALSE), "Siegerurkunde", "Teilnehmerurkunde")), "Keine Urkunde"))</f>
        <v>Siegerurkunde</v>
      </c>
      <c r="T248" s="14">
        <f t="shared" si="10"/>
        <v>1.9</v>
      </c>
    </row>
    <row r="249" ht="19.5" hidden="1" customHeight="1">
      <c r="A249" s="15" t="str">
        <f>IF(ASV_Daten!A250="","",ASV_Daten!A250)</f>
        <v>R7D</v>
      </c>
      <c r="B249" s="15" t="str">
        <f>IF(ASV_Daten!B250="","",ASV_Daten!B250)</f>
        <v>Rudigier</v>
      </c>
      <c r="C249" s="15" t="str">
        <f>IF(ASV_Daten!C250="","",ASV_Daten!C250)</f>
        <v>Melina</v>
      </c>
      <c r="D249" s="15">
        <f>IF(ASV_Daten!D250="","",ASV_Daten!D250)</f>
        <v>2012</v>
      </c>
      <c r="E249" s="15" t="str">
        <f>IF(ASV_Daten!E250="","",ASV_Daten!E250)</f>
        <v>W</v>
      </c>
      <c r="F249" s="16" t="str">
        <f t="shared" si="1"/>
        <v>7</v>
      </c>
      <c r="G249" s="17">
        <f t="shared" si="2"/>
        <v>14</v>
      </c>
      <c r="H249" s="19"/>
      <c r="I249" s="19">
        <f t="shared" si="3"/>
        <v>0</v>
      </c>
      <c r="J249" s="20">
        <v>13.0</v>
      </c>
      <c r="K249" s="19">
        <f t="shared" si="11"/>
        <v>252</v>
      </c>
      <c r="L249" s="20">
        <v>3.51</v>
      </c>
      <c r="M249" s="19">
        <f t="shared" si="5"/>
        <v>372</v>
      </c>
      <c r="N249" s="20">
        <v>18.0</v>
      </c>
      <c r="O249" s="19">
        <f t="shared" si="6"/>
        <v>272</v>
      </c>
      <c r="P249" s="19" t="str">
        <f t="shared" si="7"/>
        <v>Punkte W 7-9</v>
      </c>
      <c r="Q249" s="19" t="str">
        <f t="shared" si="8"/>
        <v>Noten-Matrix-Mädchen</v>
      </c>
      <c r="R249" s="21">
        <f t="shared" si="9"/>
        <v>896</v>
      </c>
      <c r="S249" s="19" t="str">
        <f>IF(R249=0, "Keine Teilnahme", IFERROR(IF(R249&gt;=VLOOKUP(G249&amp;LOWER(E249), Formeln!$H$2:$K$30, 4, FALSE), "Ehrenurkunde", IF(R249&gt;=VLOOKUP(G249&amp;LOWER(E249), Formeln!$H$2:$K$30, 3, FALSE), "Siegerurkunde", "Teilnehmerurkunde")), "Keine Urkunde"))</f>
        <v>Teilnehmerurkunde</v>
      </c>
      <c r="T249" s="22">
        <f t="shared" si="10"/>
        <v>2.4</v>
      </c>
    </row>
    <row r="250" ht="19.5" hidden="1" customHeight="1">
      <c r="A250" s="7" t="str">
        <f>IF(ASV_Daten!A246="","",ASV_Daten!A246)</f>
        <v>R7D</v>
      </c>
      <c r="B250" s="7" t="str">
        <f>IF(ASV_Daten!B246="","",ASV_Daten!B246)</f>
        <v>Kopfmann</v>
      </c>
      <c r="C250" s="7" t="str">
        <f>IF(ASV_Daten!C246="","",ASV_Daten!C246)</f>
        <v>Michelle</v>
      </c>
      <c r="D250" s="7">
        <f>IF(ASV_Daten!D246="","",ASV_Daten!D246)</f>
        <v>2012</v>
      </c>
      <c r="E250" s="7" t="str">
        <f>IF(ASV_Daten!E246="","",ASV_Daten!E246)</f>
        <v>W</v>
      </c>
      <c r="F250" s="8" t="str">
        <f t="shared" si="1"/>
        <v>7</v>
      </c>
      <c r="G250" s="9">
        <f t="shared" si="2"/>
        <v>14</v>
      </c>
      <c r="H250" s="11"/>
      <c r="I250" s="11">
        <f t="shared" si="3"/>
        <v>0</v>
      </c>
      <c r="J250" s="12">
        <v>11.8</v>
      </c>
      <c r="K250" s="11">
        <f t="shared" si="11"/>
        <v>338</v>
      </c>
      <c r="L250" s="12">
        <v>3.77</v>
      </c>
      <c r="M250" s="11">
        <f t="shared" si="5"/>
        <v>407</v>
      </c>
      <c r="N250" s="12">
        <v>21.5</v>
      </c>
      <c r="O250" s="11">
        <f t="shared" si="6"/>
        <v>310</v>
      </c>
      <c r="P250" s="11" t="str">
        <f t="shared" si="7"/>
        <v>Punkte W 7-9</v>
      </c>
      <c r="Q250" s="11" t="str">
        <f t="shared" si="8"/>
        <v>Noten-Matrix-Mädchen</v>
      </c>
      <c r="R250" s="13">
        <f t="shared" si="9"/>
        <v>1055</v>
      </c>
      <c r="S250" s="11" t="str">
        <f>IF(R250=0, "Keine Teilnahme", IFERROR(IF(R250&gt;=VLOOKUP(G250&amp;LOWER(E250), Formeln!$H$2:$K$30, 4, FALSE), "Ehrenurkunde", IF(R250&gt;=VLOOKUP(G250&amp;LOWER(E250), Formeln!$H$2:$K$30, 3, FALSE), "Siegerurkunde", "Teilnehmerurkunde")), "Keine Urkunde"))</f>
        <v>Ehrenurkunde</v>
      </c>
      <c r="T250" s="14">
        <f t="shared" si="10"/>
        <v>1.5</v>
      </c>
    </row>
    <row r="251" ht="19.5" hidden="1" customHeight="1">
      <c r="A251" s="15" t="str">
        <f>IF(ASV_Daten!A243="","",ASV_Daten!A243)</f>
        <v>R7D</v>
      </c>
      <c r="B251" s="15" t="str">
        <f>IF(ASV_Daten!B243="","",ASV_Daten!B243)</f>
        <v>Jungmann</v>
      </c>
      <c r="C251" s="15" t="str">
        <f>IF(ASV_Daten!C243="","",ASV_Daten!C243)</f>
        <v>Milana</v>
      </c>
      <c r="D251" s="15">
        <f>IF(ASV_Daten!D243="","",ASV_Daten!D243)</f>
        <v>2012</v>
      </c>
      <c r="E251" s="15" t="str">
        <f>IF(ASV_Daten!E243="","",ASV_Daten!E243)</f>
        <v>W</v>
      </c>
      <c r="F251" s="16" t="str">
        <f t="shared" si="1"/>
        <v>7</v>
      </c>
      <c r="G251" s="17">
        <f t="shared" si="2"/>
        <v>14</v>
      </c>
      <c r="H251" s="19"/>
      <c r="I251" s="19">
        <f t="shared" si="3"/>
        <v>0</v>
      </c>
      <c r="J251" s="19"/>
      <c r="K251" s="19">
        <f t="shared" si="11"/>
        <v>0</v>
      </c>
      <c r="L251" s="19"/>
      <c r="M251" s="19">
        <f t="shared" si="5"/>
        <v>0</v>
      </c>
      <c r="N251" s="19"/>
      <c r="O251" s="19">
        <f t="shared" si="6"/>
        <v>0</v>
      </c>
      <c r="P251" s="19" t="str">
        <f t="shared" si="7"/>
        <v>Punkte W 7-9</v>
      </c>
      <c r="Q251" s="19" t="str">
        <f t="shared" si="8"/>
        <v>Noten-Matrix-Mädchen</v>
      </c>
      <c r="R251" s="21">
        <f t="shared" si="9"/>
        <v>0</v>
      </c>
      <c r="S251" s="19" t="str">
        <f>IF(R251=0, "Keine Teilnahme", IFERROR(IF(R251&gt;=VLOOKUP(G251&amp;LOWER(E251), Formeln!$H$2:$K$30, 4, FALSE), "Ehrenurkunde", IF(R251&gt;=VLOOKUP(G251&amp;LOWER(E251), Formeln!$H$2:$K$30, 3, FALSE), "Siegerurkunde", "Teilnehmerurkunde")), "Keine Urkunde"))</f>
        <v>Keine Teilnahme</v>
      </c>
      <c r="T251" s="22" t="str">
        <f t="shared" si="10"/>
        <v>Keine Teilnahme</v>
      </c>
    </row>
    <row r="252" ht="19.5" hidden="1" customHeight="1">
      <c r="A252" s="7" t="str">
        <f>IF(ASV_Daten!A238="","",ASV_Daten!A238)</f>
        <v>R7D</v>
      </c>
      <c r="B252" s="7" t="str">
        <f>IF(ASV_Daten!B238="","",ASV_Daten!B238)</f>
        <v>De Min</v>
      </c>
      <c r="C252" s="7" t="str">
        <f>IF(ASV_Daten!C238="","",ASV_Daten!C238)</f>
        <v>Milo</v>
      </c>
      <c r="D252" s="7">
        <f>IF(ASV_Daten!D238="","",ASV_Daten!D238)</f>
        <v>2013</v>
      </c>
      <c r="E252" s="7" t="str">
        <f>IF(ASV_Daten!E238="","",ASV_Daten!E238)</f>
        <v>M</v>
      </c>
      <c r="F252" s="8" t="str">
        <f t="shared" si="1"/>
        <v>7</v>
      </c>
      <c r="G252" s="9">
        <f t="shared" si="2"/>
        <v>13</v>
      </c>
      <c r="H252" s="11"/>
      <c r="I252" s="11">
        <f t="shared" si="3"/>
        <v>0</v>
      </c>
      <c r="J252" s="12">
        <v>11.8</v>
      </c>
      <c r="K252" s="11">
        <f t="shared" si="11"/>
        <v>320</v>
      </c>
      <c r="L252" s="12">
        <v>3.81</v>
      </c>
      <c r="M252" s="11">
        <f t="shared" si="5"/>
        <v>366</v>
      </c>
      <c r="N252" s="12">
        <v>32.5</v>
      </c>
      <c r="O252" s="11">
        <f t="shared" si="6"/>
        <v>303</v>
      </c>
      <c r="P252" s="11" t="str">
        <f t="shared" si="7"/>
        <v>Punkte M 7-9</v>
      </c>
      <c r="Q252" s="11" t="str">
        <f t="shared" si="8"/>
        <v>Noten-Matrix-Jungen</v>
      </c>
      <c r="R252" s="13">
        <f t="shared" si="9"/>
        <v>989</v>
      </c>
      <c r="S252" s="11" t="str">
        <f>IF(R252=0, "Keine Teilnahme", IFERROR(IF(R252&gt;=VLOOKUP(G252&amp;LOWER(E252), Formeln!$H$2:$K$30, 4, FALSE), "Ehrenurkunde", IF(R252&gt;=VLOOKUP(G252&amp;LOWER(E252), Formeln!$H$2:$K$30, 3, FALSE), "Siegerurkunde", "Teilnehmerurkunde")), "Keine Urkunde"))</f>
        <v>Siegerurkunde</v>
      </c>
      <c r="T252" s="14">
        <f t="shared" si="10"/>
        <v>1.9</v>
      </c>
    </row>
    <row r="253" ht="19.5" hidden="1" customHeight="1">
      <c r="A253" s="15" t="str">
        <f>IF(ASV_Daten!A240="","",ASV_Daten!A240)</f>
        <v>R7D</v>
      </c>
      <c r="B253" s="15" t="str">
        <f>IF(ASV_Daten!B240="","",ASV_Daten!B240)</f>
        <v>Del Mundo</v>
      </c>
      <c r="C253" s="15" t="str">
        <f>IF(ASV_Daten!C240="","",ASV_Daten!C240)</f>
        <v>Nacet</v>
      </c>
      <c r="D253" s="15">
        <f>IF(ASV_Daten!D240="","",ASV_Daten!D240)</f>
        <v>2012</v>
      </c>
      <c r="E253" s="15" t="str">
        <f>IF(ASV_Daten!E240="","",ASV_Daten!E240)</f>
        <v>W</v>
      </c>
      <c r="F253" s="16" t="str">
        <f t="shared" si="1"/>
        <v>7</v>
      </c>
      <c r="G253" s="17">
        <f t="shared" si="2"/>
        <v>14</v>
      </c>
      <c r="H253" s="19"/>
      <c r="I253" s="19">
        <f t="shared" si="3"/>
        <v>0</v>
      </c>
      <c r="J253" s="19"/>
      <c r="K253" s="19">
        <f t="shared" si="11"/>
        <v>0</v>
      </c>
      <c r="L253" s="20">
        <v>2.89</v>
      </c>
      <c r="M253" s="19">
        <f t="shared" si="5"/>
        <v>291</v>
      </c>
      <c r="N253" s="20">
        <v>18.0</v>
      </c>
      <c r="O253" s="19">
        <f t="shared" si="6"/>
        <v>272</v>
      </c>
      <c r="P253" s="19" t="str">
        <f t="shared" si="7"/>
        <v>Punkte W 7-9</v>
      </c>
      <c r="Q253" s="19" t="str">
        <f t="shared" si="8"/>
        <v>Noten-Matrix-Mädchen</v>
      </c>
      <c r="R253" s="21">
        <f t="shared" si="9"/>
        <v>563</v>
      </c>
      <c r="S253" s="19" t="str">
        <f>IF(R253=0, "Keine Teilnahme", IFERROR(IF(R253&gt;=VLOOKUP(G253&amp;LOWER(E253), Formeln!$H$2:$K$30, 4, FALSE), "Ehrenurkunde", IF(R253&gt;=VLOOKUP(G253&amp;LOWER(E253), Formeln!$H$2:$K$30, 3, FALSE), "Siegerurkunde", "Teilnehmerurkunde")), "Keine Urkunde"))</f>
        <v>Teilnehmerurkunde</v>
      </c>
      <c r="T253" s="22" t="str">
        <f t="shared" si="10"/>
        <v>NOTE</v>
      </c>
    </row>
    <row r="254" ht="19.5" hidden="1" customHeight="1">
      <c r="A254" s="7" t="str">
        <f>IF(ASV_Daten!A249="","",ASV_Daten!A249)</f>
        <v>R7D</v>
      </c>
      <c r="B254" s="7" t="str">
        <f>IF(ASV_Daten!B249="","",ASV_Daten!B249)</f>
        <v>Rexhepi</v>
      </c>
      <c r="C254" s="7" t="str">
        <f>IF(ASV_Daten!C249="","",ASV_Daten!C249)</f>
        <v>Rahim</v>
      </c>
      <c r="D254" s="7">
        <f>IF(ASV_Daten!D249="","",ASV_Daten!D249)</f>
        <v>2012</v>
      </c>
      <c r="E254" s="7" t="str">
        <f>IF(ASV_Daten!E249="","",ASV_Daten!E249)</f>
        <v>M</v>
      </c>
      <c r="F254" s="8" t="str">
        <f t="shared" si="1"/>
        <v>7</v>
      </c>
      <c r="G254" s="9">
        <f t="shared" si="2"/>
        <v>14</v>
      </c>
      <c r="H254" s="11"/>
      <c r="I254" s="11">
        <f t="shared" si="3"/>
        <v>0</v>
      </c>
      <c r="J254" s="12">
        <v>11.4</v>
      </c>
      <c r="K254" s="11">
        <f t="shared" si="11"/>
        <v>352</v>
      </c>
      <c r="L254" s="12">
        <v>3.93</v>
      </c>
      <c r="M254" s="11">
        <f t="shared" si="5"/>
        <v>379</v>
      </c>
      <c r="N254" s="12">
        <v>23.5</v>
      </c>
      <c r="O254" s="11">
        <f t="shared" si="6"/>
        <v>234</v>
      </c>
      <c r="P254" s="11" t="str">
        <f t="shared" si="7"/>
        <v>Punkte M 7-9</v>
      </c>
      <c r="Q254" s="11" t="str">
        <f t="shared" si="8"/>
        <v>Noten-Matrix-Jungen</v>
      </c>
      <c r="R254" s="13">
        <f t="shared" si="9"/>
        <v>965</v>
      </c>
      <c r="S254" s="11" t="str">
        <f>IF(R254=0, "Keine Teilnahme", IFERROR(IF(R254&gt;=VLOOKUP(G254&amp;LOWER(E254), Formeln!$H$2:$K$30, 4, FALSE), "Ehrenurkunde", IF(R254&gt;=VLOOKUP(G254&amp;LOWER(E254), Formeln!$H$2:$K$30, 3, FALSE), "Siegerurkunde", "Teilnehmerurkunde")), "Keine Urkunde"))</f>
        <v>Siegerurkunde</v>
      </c>
      <c r="T254" s="14">
        <f t="shared" si="10"/>
        <v>2.4</v>
      </c>
    </row>
    <row r="255" ht="19.5" hidden="1" customHeight="1">
      <c r="A255" s="15" t="str">
        <f>IF(ASV_Daten!A278="","",ASV_Daten!A278)</f>
        <v>R8A</v>
      </c>
      <c r="B255" s="15" t="str">
        <f>IF(ASV_Daten!B278="","",ASV_Daten!B278)</f>
        <v>Stettner</v>
      </c>
      <c r="C255" s="15" t="str">
        <f>IF(ASV_Daten!C278="","",ASV_Daten!C278)</f>
        <v>Adrian</v>
      </c>
      <c r="D255" s="15">
        <f>IF(ASV_Daten!D278="","",ASV_Daten!D278)</f>
        <v>2012</v>
      </c>
      <c r="E255" s="15" t="str">
        <f>IF(ASV_Daten!E278="","",ASV_Daten!E278)</f>
        <v>M</v>
      </c>
      <c r="F255" s="16" t="str">
        <f t="shared" si="1"/>
        <v>8</v>
      </c>
      <c r="G255" s="17">
        <f t="shared" si="2"/>
        <v>14</v>
      </c>
      <c r="H255" s="19"/>
      <c r="I255" s="19">
        <f t="shared" si="3"/>
        <v>0</v>
      </c>
      <c r="J255" s="20">
        <v>13.5</v>
      </c>
      <c r="K255" s="19">
        <f t="shared" si="11"/>
        <v>204</v>
      </c>
      <c r="L255" s="20">
        <v>3.69</v>
      </c>
      <c r="M255" s="19">
        <f t="shared" si="5"/>
        <v>351</v>
      </c>
      <c r="N255" s="20">
        <v>21.0</v>
      </c>
      <c r="O255" s="19">
        <f t="shared" si="6"/>
        <v>213</v>
      </c>
      <c r="P255" s="19" t="str">
        <f t="shared" si="7"/>
        <v>Punkte M 7-9</v>
      </c>
      <c r="Q255" s="19" t="str">
        <f t="shared" si="8"/>
        <v>Noten-Matrix-Jungen</v>
      </c>
      <c r="R255" s="21">
        <f t="shared" si="9"/>
        <v>768</v>
      </c>
      <c r="S255" s="19" t="str">
        <f>IF(R255=0, "Keine Teilnahme", IFERROR(IF(R255&gt;=VLOOKUP(G255&amp;LOWER(E255), Formeln!$H$2:$K$30, 4, FALSE), "Ehrenurkunde", IF(R255&gt;=VLOOKUP(G255&amp;LOWER(E255), Formeln!$H$2:$K$30, 3, FALSE), "Siegerurkunde", "Teilnehmerurkunde")), "Keine Urkunde"))</f>
        <v>Teilnehmerurkunde</v>
      </c>
      <c r="T255" s="22">
        <f t="shared" si="10"/>
        <v>3.7</v>
      </c>
    </row>
    <row r="256" ht="19.5" hidden="1" customHeight="1">
      <c r="A256" s="7" t="str">
        <f>IF(ASV_Daten!A272="","",ASV_Daten!A272)</f>
        <v>R8A</v>
      </c>
      <c r="B256" s="7" t="str">
        <f>IF(ASV_Daten!B272="","",ASV_Daten!B272)</f>
        <v>Mark</v>
      </c>
      <c r="C256" s="7" t="str">
        <f>IF(ASV_Daten!C272="","",ASV_Daten!C272)</f>
        <v>Amelie</v>
      </c>
      <c r="D256" s="7">
        <f>IF(ASV_Daten!D272="","",ASV_Daten!D272)</f>
        <v>2012</v>
      </c>
      <c r="E256" s="7" t="str">
        <f>IF(ASV_Daten!E272="","",ASV_Daten!E272)</f>
        <v>W</v>
      </c>
      <c r="F256" s="8" t="str">
        <f t="shared" si="1"/>
        <v>8</v>
      </c>
      <c r="G256" s="9">
        <f t="shared" si="2"/>
        <v>14</v>
      </c>
      <c r="H256" s="11"/>
      <c r="I256" s="11">
        <f t="shared" si="3"/>
        <v>0</v>
      </c>
      <c r="J256" s="12">
        <v>11.8</v>
      </c>
      <c r="K256" s="11">
        <f t="shared" si="11"/>
        <v>338</v>
      </c>
      <c r="L256" s="12">
        <v>3.17</v>
      </c>
      <c r="M256" s="11">
        <f t="shared" si="5"/>
        <v>330</v>
      </c>
      <c r="N256" s="12">
        <v>15.5</v>
      </c>
      <c r="O256" s="11">
        <f t="shared" si="6"/>
        <v>242</v>
      </c>
      <c r="P256" s="11" t="str">
        <f t="shared" si="7"/>
        <v>Punkte W 7-9</v>
      </c>
      <c r="Q256" s="11" t="str">
        <f t="shared" si="8"/>
        <v>Noten-Matrix-Mädchen</v>
      </c>
      <c r="R256" s="13">
        <f t="shared" si="9"/>
        <v>910</v>
      </c>
      <c r="S256" s="11" t="str">
        <f>IF(R256=0, "Keine Teilnahme", IFERROR(IF(R256&gt;=VLOOKUP(G256&amp;LOWER(E256), Formeln!$H$2:$K$30, 4, FALSE), "Ehrenurkunde", IF(R256&gt;=VLOOKUP(G256&amp;LOWER(E256), Formeln!$H$2:$K$30, 3, FALSE), "Siegerurkunde", "Teilnehmerurkunde")), "Keine Urkunde"))</f>
        <v>Siegerurkunde</v>
      </c>
      <c r="T256" s="14">
        <f t="shared" si="10"/>
        <v>2.3</v>
      </c>
    </row>
    <row r="257" ht="19.5" hidden="1" customHeight="1">
      <c r="A257" s="15" t="str">
        <f>IF(ASV_Daten!A275="","",ASV_Daten!A275)</f>
        <v>R8A</v>
      </c>
      <c r="B257" s="15" t="str">
        <f>IF(ASV_Daten!B275="","",ASV_Daten!B275)</f>
        <v>Raile</v>
      </c>
      <c r="C257" s="15" t="str">
        <f>IF(ASV_Daten!C275="","",ASV_Daten!C275)</f>
        <v>Bogdan</v>
      </c>
      <c r="D257" s="15">
        <f>IF(ASV_Daten!D275="","",ASV_Daten!D275)</f>
        <v>2011</v>
      </c>
      <c r="E257" s="15" t="str">
        <f>IF(ASV_Daten!E275="","",ASV_Daten!E275)</f>
        <v>M</v>
      </c>
      <c r="F257" s="16" t="str">
        <f t="shared" si="1"/>
        <v>8</v>
      </c>
      <c r="G257" s="17">
        <f t="shared" si="2"/>
        <v>15</v>
      </c>
      <c r="H257" s="19"/>
      <c r="I257" s="19">
        <f t="shared" si="3"/>
        <v>0</v>
      </c>
      <c r="J257" s="19"/>
      <c r="K257" s="19">
        <f t="shared" si="11"/>
        <v>0</v>
      </c>
      <c r="L257" s="19"/>
      <c r="M257" s="19">
        <f t="shared" si="5"/>
        <v>0</v>
      </c>
      <c r="N257" s="19"/>
      <c r="O257" s="19">
        <f t="shared" si="6"/>
        <v>0</v>
      </c>
      <c r="P257" s="19" t="str">
        <f t="shared" si="7"/>
        <v>Punkte M 7-9</v>
      </c>
      <c r="Q257" s="19" t="str">
        <f t="shared" si="8"/>
        <v>Noten-Matrix-Jungen</v>
      </c>
      <c r="R257" s="21">
        <f t="shared" si="9"/>
        <v>0</v>
      </c>
      <c r="S257" s="19" t="str">
        <f>IF(R257=0, "Keine Teilnahme", IFERROR(IF(R257&gt;=VLOOKUP(G257&amp;LOWER(E257), Formeln!$H$2:$K$30, 4, FALSE), "Ehrenurkunde", IF(R257&gt;=VLOOKUP(G257&amp;LOWER(E257), Formeln!$H$2:$K$30, 3, FALSE), "Siegerurkunde", "Teilnehmerurkunde")), "Keine Urkunde"))</f>
        <v>Keine Teilnahme</v>
      </c>
      <c r="T257" s="22" t="str">
        <f t="shared" si="10"/>
        <v>Keine Teilnahme</v>
      </c>
    </row>
    <row r="258" ht="19.5" hidden="1" customHeight="1">
      <c r="A258" s="7" t="str">
        <f>IF(ASV_Daten!A273="","",ASV_Daten!A273)</f>
        <v>R8A</v>
      </c>
      <c r="B258" s="7" t="str">
        <f>IF(ASV_Daten!B273="","",ASV_Daten!B273)</f>
        <v>MartinovicÂ´</v>
      </c>
      <c r="C258" s="7" t="str">
        <f>IF(ASV_Daten!C273="","",ASV_Daten!C273)</f>
        <v>Demjen</v>
      </c>
      <c r="D258" s="7">
        <f>IF(ASV_Daten!D273="","",ASV_Daten!D273)</f>
        <v>2012</v>
      </c>
      <c r="E258" s="7" t="str">
        <f>IF(ASV_Daten!E273="","",ASV_Daten!E273)</f>
        <v>M</v>
      </c>
      <c r="F258" s="8" t="str">
        <f t="shared" si="1"/>
        <v>8</v>
      </c>
      <c r="G258" s="9">
        <f t="shared" si="2"/>
        <v>14</v>
      </c>
      <c r="H258" s="11"/>
      <c r="I258" s="11">
        <f t="shared" si="3"/>
        <v>0</v>
      </c>
      <c r="J258" s="11"/>
      <c r="K258" s="11">
        <f t="shared" si="11"/>
        <v>0</v>
      </c>
      <c r="L258" s="11"/>
      <c r="M258" s="11">
        <f t="shared" si="5"/>
        <v>0</v>
      </c>
      <c r="N258" s="11"/>
      <c r="O258" s="11">
        <f t="shared" si="6"/>
        <v>0</v>
      </c>
      <c r="P258" s="11" t="str">
        <f t="shared" si="7"/>
        <v>Punkte M 7-9</v>
      </c>
      <c r="Q258" s="11" t="str">
        <f t="shared" si="8"/>
        <v>Noten-Matrix-Jungen</v>
      </c>
      <c r="R258" s="13">
        <f t="shared" si="9"/>
        <v>0</v>
      </c>
      <c r="S258" s="11" t="str">
        <f>IF(R258=0, "Keine Teilnahme", IFERROR(IF(R258&gt;=VLOOKUP(G258&amp;LOWER(E258), Formeln!$H$2:$K$30, 4, FALSE), "Ehrenurkunde", IF(R258&gt;=VLOOKUP(G258&amp;LOWER(E258), Formeln!$H$2:$K$30, 3, FALSE), "Siegerurkunde", "Teilnehmerurkunde")), "Keine Urkunde"))</f>
        <v>Keine Teilnahme</v>
      </c>
      <c r="T258" s="14" t="str">
        <f t="shared" si="10"/>
        <v>Keine Teilnahme</v>
      </c>
    </row>
    <row r="259" ht="19.5" hidden="1" customHeight="1">
      <c r="A259" s="15" t="str">
        <f>IF(ASV_Daten!A258="","",ASV_Daten!A258)</f>
        <v>R8A</v>
      </c>
      <c r="B259" s="15" t="str">
        <f>IF(ASV_Daten!B258="","",ASV_Daten!B258)</f>
        <v>Dreher</v>
      </c>
      <c r="C259" s="15" t="str">
        <f>IF(ASV_Daten!C258="","",ASV_Daten!C258)</f>
        <v>Domenic</v>
      </c>
      <c r="D259" s="15">
        <f>IF(ASV_Daten!D258="","",ASV_Daten!D258)</f>
        <v>2011</v>
      </c>
      <c r="E259" s="15" t="str">
        <f>IF(ASV_Daten!E258="","",ASV_Daten!E258)</f>
        <v>M</v>
      </c>
      <c r="F259" s="16" t="str">
        <f t="shared" si="1"/>
        <v>8</v>
      </c>
      <c r="G259" s="17">
        <f t="shared" si="2"/>
        <v>15</v>
      </c>
      <c r="H259" s="19"/>
      <c r="I259" s="19">
        <f t="shared" si="3"/>
        <v>0</v>
      </c>
      <c r="J259" s="20">
        <v>11.4</v>
      </c>
      <c r="K259" s="19">
        <f t="shared" si="11"/>
        <v>352</v>
      </c>
      <c r="L259" s="20">
        <v>3.57</v>
      </c>
      <c r="M259" s="19">
        <f t="shared" si="5"/>
        <v>337</v>
      </c>
      <c r="N259" s="20">
        <v>33.0</v>
      </c>
      <c r="O259" s="19">
        <f t="shared" si="6"/>
        <v>307</v>
      </c>
      <c r="P259" s="19" t="str">
        <f t="shared" si="7"/>
        <v>Punkte M 7-9</v>
      </c>
      <c r="Q259" s="19" t="str">
        <f t="shared" si="8"/>
        <v>Noten-Matrix-Jungen</v>
      </c>
      <c r="R259" s="21">
        <f t="shared" si="9"/>
        <v>996</v>
      </c>
      <c r="S259" s="19" t="str">
        <f>IF(R259=0, "Keine Teilnahme", IFERROR(IF(R259&gt;=VLOOKUP(G259&amp;LOWER(E259), Formeln!$H$2:$K$30, 4, FALSE), "Ehrenurkunde", IF(R259&gt;=VLOOKUP(G259&amp;LOWER(E259), Formeln!$H$2:$K$30, 3, FALSE), "Siegerurkunde", "Teilnehmerurkunde")), "Keine Urkunde"))</f>
        <v>Siegerurkunde</v>
      </c>
      <c r="T259" s="22">
        <f t="shared" si="10"/>
        <v>2.6</v>
      </c>
    </row>
    <row r="260" ht="19.5" hidden="1" customHeight="1">
      <c r="A260" s="7" t="str">
        <f>IF(ASV_Daten!A261="","",ASV_Daten!A261)</f>
        <v>R8A</v>
      </c>
      <c r="B260" s="7" t="str">
        <f>IF(ASV_Daten!B261="","",ASV_Daten!B261)</f>
        <v>Hättich</v>
      </c>
      <c r="C260" s="7" t="str">
        <f>IF(ASV_Daten!C261="","",ASV_Daten!C261)</f>
        <v>Felix</v>
      </c>
      <c r="D260" s="7">
        <f>IF(ASV_Daten!D261="","",ASV_Daten!D261)</f>
        <v>2011</v>
      </c>
      <c r="E260" s="7" t="str">
        <f>IF(ASV_Daten!E261="","",ASV_Daten!E261)</f>
        <v>M</v>
      </c>
      <c r="F260" s="8" t="str">
        <f t="shared" si="1"/>
        <v>8</v>
      </c>
      <c r="G260" s="9">
        <f t="shared" si="2"/>
        <v>15</v>
      </c>
      <c r="H260" s="11"/>
      <c r="I260" s="11">
        <f t="shared" si="3"/>
        <v>0</v>
      </c>
      <c r="J260" s="12">
        <v>11.3</v>
      </c>
      <c r="K260" s="11">
        <f t="shared" si="11"/>
        <v>361</v>
      </c>
      <c r="L260" s="12">
        <v>4.29</v>
      </c>
      <c r="M260" s="11">
        <f t="shared" si="5"/>
        <v>420</v>
      </c>
      <c r="N260" s="12">
        <v>35.0</v>
      </c>
      <c r="O260" s="11">
        <f t="shared" si="6"/>
        <v>320</v>
      </c>
      <c r="P260" s="11" t="str">
        <f t="shared" si="7"/>
        <v>Punkte M 7-9</v>
      </c>
      <c r="Q260" s="11" t="str">
        <f t="shared" si="8"/>
        <v>Noten-Matrix-Jungen</v>
      </c>
      <c r="R260" s="13">
        <f t="shared" si="9"/>
        <v>1101</v>
      </c>
      <c r="S260" s="11" t="str">
        <f>IF(R260=0, "Keine Teilnahme", IFERROR(IF(R260&gt;=VLOOKUP(G260&amp;LOWER(E260), Formeln!$H$2:$K$30, 4, FALSE), "Ehrenurkunde", IF(R260&gt;=VLOOKUP(G260&amp;LOWER(E260), Formeln!$H$2:$K$30, 3, FALSE), "Siegerurkunde", "Teilnehmerurkunde")), "Keine Urkunde"))</f>
        <v>Siegerurkunde</v>
      </c>
      <c r="T260" s="14">
        <f t="shared" si="10"/>
        <v>2.1</v>
      </c>
    </row>
    <row r="261" ht="19.5" hidden="1" customHeight="1">
      <c r="A261" s="15" t="str">
        <f>IF(ASV_Daten!A264="","",ASV_Daten!A264)</f>
        <v>R8A</v>
      </c>
      <c r="B261" s="15" t="str">
        <f>IF(ASV_Daten!B264="","",ASV_Daten!B264)</f>
        <v>Jakupi</v>
      </c>
      <c r="C261" s="15" t="str">
        <f>IF(ASV_Daten!C264="","",ASV_Daten!C264)</f>
        <v>Feliza</v>
      </c>
      <c r="D261" s="15">
        <f>IF(ASV_Daten!D264="","",ASV_Daten!D264)</f>
        <v>2012</v>
      </c>
      <c r="E261" s="15" t="str">
        <f>IF(ASV_Daten!E264="","",ASV_Daten!E264)</f>
        <v>W</v>
      </c>
      <c r="F261" s="16" t="str">
        <f t="shared" si="1"/>
        <v>8</v>
      </c>
      <c r="G261" s="17">
        <f t="shared" si="2"/>
        <v>14</v>
      </c>
      <c r="H261" s="19"/>
      <c r="I261" s="19">
        <f t="shared" si="3"/>
        <v>0</v>
      </c>
      <c r="J261" s="20">
        <v>14.8</v>
      </c>
      <c r="K261" s="19">
        <f t="shared" si="11"/>
        <v>149</v>
      </c>
      <c r="L261" s="20">
        <v>2.29</v>
      </c>
      <c r="M261" s="19">
        <f t="shared" si="5"/>
        <v>201</v>
      </c>
      <c r="N261" s="20">
        <v>12.0</v>
      </c>
      <c r="O261" s="19">
        <f t="shared" si="6"/>
        <v>197</v>
      </c>
      <c r="P261" s="19" t="str">
        <f t="shared" si="7"/>
        <v>Punkte W 7-9</v>
      </c>
      <c r="Q261" s="19" t="str">
        <f t="shared" si="8"/>
        <v>Noten-Matrix-Mädchen</v>
      </c>
      <c r="R261" s="21">
        <f t="shared" si="9"/>
        <v>547</v>
      </c>
      <c r="S261" s="19" t="str">
        <f>IF(R261=0, "Keine Teilnahme", IFERROR(IF(R261&gt;=VLOOKUP(G261&amp;LOWER(E261), Formeln!$H$2:$K$30, 4, FALSE), "Ehrenurkunde", IF(R261&gt;=VLOOKUP(G261&amp;LOWER(E261), Formeln!$H$2:$K$30, 3, FALSE), "Siegerurkunde", "Teilnehmerurkunde")), "Keine Urkunde"))</f>
        <v>Teilnehmerurkunde</v>
      </c>
      <c r="T261" s="22" t="str">
        <f t="shared" si="10"/>
        <v>NOTE</v>
      </c>
    </row>
    <row r="262" ht="19.5" hidden="1" customHeight="1">
      <c r="A262" s="7" t="str">
        <f>IF(ASV_Daten!A276="","",ASV_Daten!A276)</f>
        <v>R8A</v>
      </c>
      <c r="B262" s="7" t="str">
        <f>IF(ASV_Daten!B276="","",ASV_Daten!B276)</f>
        <v>Scherer</v>
      </c>
      <c r="C262" s="7" t="str">
        <f>IF(ASV_Daten!C276="","",ASV_Daten!C276)</f>
        <v>Hannes</v>
      </c>
      <c r="D262" s="7">
        <f>IF(ASV_Daten!D276="","",ASV_Daten!D276)</f>
        <v>2012</v>
      </c>
      <c r="E262" s="7" t="str">
        <f>IF(ASV_Daten!E276="","",ASV_Daten!E276)</f>
        <v>M</v>
      </c>
      <c r="F262" s="8" t="str">
        <f t="shared" si="1"/>
        <v>8</v>
      </c>
      <c r="G262" s="9">
        <f t="shared" si="2"/>
        <v>14</v>
      </c>
      <c r="H262" s="11"/>
      <c r="I262" s="11">
        <f t="shared" si="3"/>
        <v>0</v>
      </c>
      <c r="J262" s="11"/>
      <c r="K262" s="11">
        <f t="shared" si="11"/>
        <v>0</v>
      </c>
      <c r="L262" s="11"/>
      <c r="M262" s="11">
        <f t="shared" si="5"/>
        <v>0</v>
      </c>
      <c r="N262" s="11"/>
      <c r="O262" s="11">
        <f t="shared" si="6"/>
        <v>0</v>
      </c>
      <c r="P262" s="11" t="str">
        <f t="shared" si="7"/>
        <v>Punkte M 7-9</v>
      </c>
      <c r="Q262" s="11" t="str">
        <f t="shared" si="8"/>
        <v>Noten-Matrix-Jungen</v>
      </c>
      <c r="R262" s="13">
        <f t="shared" si="9"/>
        <v>0</v>
      </c>
      <c r="S262" s="11" t="str">
        <f>IF(R262=0, "Keine Teilnahme", IFERROR(IF(R262&gt;=VLOOKUP(G262&amp;LOWER(E262), Formeln!$H$2:$K$30, 4, FALSE), "Ehrenurkunde", IF(R262&gt;=VLOOKUP(G262&amp;LOWER(E262), Formeln!$H$2:$K$30, 3, FALSE), "Siegerurkunde", "Teilnehmerurkunde")), "Keine Urkunde"))</f>
        <v>Keine Teilnahme</v>
      </c>
      <c r="T262" s="14" t="str">
        <f t="shared" si="10"/>
        <v>Keine Teilnahme</v>
      </c>
    </row>
    <row r="263" ht="19.5" hidden="1" customHeight="1">
      <c r="A263" s="15" t="str">
        <f>IF(ASV_Daten!A274="","",ASV_Daten!A274)</f>
        <v>R8A</v>
      </c>
      <c r="B263" s="15" t="str">
        <f>IF(ASV_Daten!B274="","",ASV_Daten!B274)</f>
        <v>Mügge</v>
      </c>
      <c r="C263" s="15" t="str">
        <f>IF(ASV_Daten!C274="","",ASV_Daten!C274)</f>
        <v>Jasmin</v>
      </c>
      <c r="D263" s="15">
        <f>IF(ASV_Daten!D274="","",ASV_Daten!D274)</f>
        <v>2012</v>
      </c>
      <c r="E263" s="15" t="str">
        <f>IF(ASV_Daten!E274="","",ASV_Daten!E274)</f>
        <v>W</v>
      </c>
      <c r="F263" s="16" t="str">
        <f t="shared" si="1"/>
        <v>8</v>
      </c>
      <c r="G263" s="17">
        <f t="shared" si="2"/>
        <v>14</v>
      </c>
      <c r="H263" s="19"/>
      <c r="I263" s="19">
        <f t="shared" si="3"/>
        <v>0</v>
      </c>
      <c r="J263" s="20">
        <v>12.3</v>
      </c>
      <c r="K263" s="19">
        <f t="shared" si="11"/>
        <v>300</v>
      </c>
      <c r="L263" s="20">
        <v>3.69</v>
      </c>
      <c r="M263" s="19">
        <f t="shared" si="5"/>
        <v>397</v>
      </c>
      <c r="N263" s="20">
        <v>19.0</v>
      </c>
      <c r="O263" s="19">
        <f t="shared" si="6"/>
        <v>283</v>
      </c>
      <c r="P263" s="19" t="str">
        <f t="shared" si="7"/>
        <v>Punkte W 7-9</v>
      </c>
      <c r="Q263" s="19" t="str">
        <f t="shared" si="8"/>
        <v>Noten-Matrix-Mädchen</v>
      </c>
      <c r="R263" s="21">
        <f t="shared" si="9"/>
        <v>980</v>
      </c>
      <c r="S263" s="19" t="str">
        <f>IF(R263=0, "Keine Teilnahme", IFERROR(IF(R263&gt;=VLOOKUP(G263&amp;LOWER(E263), Formeln!$H$2:$K$30, 4, FALSE), "Ehrenurkunde", IF(R263&gt;=VLOOKUP(G263&amp;LOWER(E263), Formeln!$H$2:$K$30, 3, FALSE), "Siegerurkunde", "Teilnehmerurkunde")), "Keine Urkunde"))</f>
        <v>Siegerurkunde</v>
      </c>
      <c r="T263" s="22">
        <f t="shared" si="10"/>
        <v>1.9</v>
      </c>
    </row>
    <row r="264" ht="19.5" hidden="1" customHeight="1">
      <c r="A264" s="7" t="str">
        <f>IF(ASV_Daten!A259="","",ASV_Daten!A259)</f>
        <v>R8A</v>
      </c>
      <c r="B264" s="7" t="str">
        <f>IF(ASV_Daten!B259="","",ASV_Daten!B259)</f>
        <v>Fehrenbach</v>
      </c>
      <c r="C264" s="7" t="str">
        <f>IF(ASV_Daten!C259="","",ASV_Daten!C259)</f>
        <v>Johanna Alina</v>
      </c>
      <c r="D264" s="7">
        <f>IF(ASV_Daten!D259="","",ASV_Daten!D259)</f>
        <v>2012</v>
      </c>
      <c r="E264" s="7" t="str">
        <f>IF(ASV_Daten!E259="","",ASV_Daten!E259)</f>
        <v>W</v>
      </c>
      <c r="F264" s="8" t="str">
        <f t="shared" si="1"/>
        <v>8</v>
      </c>
      <c r="G264" s="9">
        <f t="shared" si="2"/>
        <v>14</v>
      </c>
      <c r="H264" s="11"/>
      <c r="I264" s="11">
        <f t="shared" si="3"/>
        <v>0</v>
      </c>
      <c r="J264" s="12">
        <v>12.4</v>
      </c>
      <c r="K264" s="11">
        <f t="shared" si="11"/>
        <v>293</v>
      </c>
      <c r="L264" s="12">
        <v>3.09</v>
      </c>
      <c r="M264" s="11">
        <f t="shared" si="5"/>
        <v>319</v>
      </c>
      <c r="N264" s="12">
        <v>17.0</v>
      </c>
      <c r="O264" s="11">
        <f t="shared" si="6"/>
        <v>260</v>
      </c>
      <c r="P264" s="11" t="str">
        <f t="shared" si="7"/>
        <v>Punkte W 7-9</v>
      </c>
      <c r="Q264" s="11" t="str">
        <f t="shared" si="8"/>
        <v>Noten-Matrix-Mädchen</v>
      </c>
      <c r="R264" s="13">
        <f t="shared" si="9"/>
        <v>872</v>
      </c>
      <c r="S264" s="11" t="str">
        <f>IF(R264=0, "Keine Teilnahme", IFERROR(IF(R264&gt;=VLOOKUP(G264&amp;LOWER(E264), Formeln!$H$2:$K$30, 4, FALSE), "Ehrenurkunde", IF(R264&gt;=VLOOKUP(G264&amp;LOWER(E264), Formeln!$H$2:$K$30, 3, FALSE), "Siegerurkunde", "Teilnehmerurkunde")), "Keine Urkunde"))</f>
        <v>Teilnehmerurkunde</v>
      </c>
      <c r="T264" s="14">
        <f t="shared" si="10"/>
        <v>2.6</v>
      </c>
    </row>
    <row r="265" ht="19.5" hidden="1" customHeight="1">
      <c r="A265" s="15" t="str">
        <f>IF(ASV_Daten!A277="","",ASV_Daten!A277)</f>
        <v>R8A</v>
      </c>
      <c r="B265" s="15" t="str">
        <f>IF(ASV_Daten!B277="","",ASV_Daten!B277)</f>
        <v>Schuler</v>
      </c>
      <c r="C265" s="15" t="str">
        <f>IF(ASV_Daten!C277="","",ASV_Daten!C277)</f>
        <v>Josephin</v>
      </c>
      <c r="D265" s="15">
        <f>IF(ASV_Daten!D277="","",ASV_Daten!D277)</f>
        <v>2012</v>
      </c>
      <c r="E265" s="15" t="str">
        <f>IF(ASV_Daten!E277="","",ASV_Daten!E277)</f>
        <v>W</v>
      </c>
      <c r="F265" s="16" t="str">
        <f t="shared" si="1"/>
        <v>8</v>
      </c>
      <c r="G265" s="17">
        <f t="shared" si="2"/>
        <v>14</v>
      </c>
      <c r="H265" s="19"/>
      <c r="I265" s="19">
        <f t="shared" si="3"/>
        <v>0</v>
      </c>
      <c r="J265" s="20">
        <v>12.0</v>
      </c>
      <c r="K265" s="19">
        <f t="shared" si="11"/>
        <v>322</v>
      </c>
      <c r="L265" s="20">
        <v>3.37</v>
      </c>
      <c r="M265" s="19">
        <f t="shared" si="5"/>
        <v>356</v>
      </c>
      <c r="N265" s="20">
        <v>14.5</v>
      </c>
      <c r="O265" s="19">
        <f t="shared" si="6"/>
        <v>230</v>
      </c>
      <c r="P265" s="19" t="str">
        <f t="shared" si="7"/>
        <v>Punkte W 7-9</v>
      </c>
      <c r="Q265" s="19" t="str">
        <f t="shared" si="8"/>
        <v>Noten-Matrix-Mädchen</v>
      </c>
      <c r="R265" s="21">
        <f t="shared" si="9"/>
        <v>908</v>
      </c>
      <c r="S265" s="19" t="str">
        <f>IF(R265=0, "Keine Teilnahme", IFERROR(IF(R265&gt;=VLOOKUP(G265&amp;LOWER(E265), Formeln!$H$2:$K$30, 4, FALSE), "Ehrenurkunde", IF(R265&gt;=VLOOKUP(G265&amp;LOWER(E265), Formeln!$H$2:$K$30, 3, FALSE), "Siegerurkunde", "Teilnehmerurkunde")), "Keine Urkunde"))</f>
        <v>Siegerurkunde</v>
      </c>
      <c r="T265" s="22">
        <f t="shared" si="10"/>
        <v>2.4</v>
      </c>
    </row>
    <row r="266" ht="19.5" hidden="1" customHeight="1">
      <c r="A266" s="7" t="str">
        <f>IF(ASV_Daten!A265="","",ASV_Daten!A265)</f>
        <v>R8A</v>
      </c>
      <c r="B266" s="7" t="str">
        <f>IF(ASV_Daten!B265="","",ASV_Daten!B265)</f>
        <v>Kaiser</v>
      </c>
      <c r="C266" s="7" t="str">
        <f>IF(ASV_Daten!C265="","",ASV_Daten!C265)</f>
        <v>Justus</v>
      </c>
      <c r="D266" s="7">
        <f>IF(ASV_Daten!D265="","",ASV_Daten!D265)</f>
        <v>2012</v>
      </c>
      <c r="E266" s="7" t="str">
        <f>IF(ASV_Daten!E265="","",ASV_Daten!E265)</f>
        <v>M</v>
      </c>
      <c r="F266" s="8" t="str">
        <f t="shared" si="1"/>
        <v>8</v>
      </c>
      <c r="G266" s="9">
        <f t="shared" si="2"/>
        <v>14</v>
      </c>
      <c r="H266" s="11"/>
      <c r="I266" s="11">
        <f t="shared" si="3"/>
        <v>0</v>
      </c>
      <c r="J266" s="11"/>
      <c r="K266" s="11">
        <f t="shared" si="11"/>
        <v>0</v>
      </c>
      <c r="L266" s="11"/>
      <c r="M266" s="11">
        <f t="shared" si="5"/>
        <v>0</v>
      </c>
      <c r="N266" s="11"/>
      <c r="O266" s="11">
        <f t="shared" si="6"/>
        <v>0</v>
      </c>
      <c r="P266" s="11" t="str">
        <f t="shared" si="7"/>
        <v>Punkte M 7-9</v>
      </c>
      <c r="Q266" s="11" t="str">
        <f t="shared" si="8"/>
        <v>Noten-Matrix-Jungen</v>
      </c>
      <c r="R266" s="13">
        <f t="shared" si="9"/>
        <v>0</v>
      </c>
      <c r="S266" s="11" t="str">
        <f>IF(R266=0, "Keine Teilnahme", IFERROR(IF(R266&gt;=VLOOKUP(G266&amp;LOWER(E266), Formeln!$H$2:$K$30, 4, FALSE), "Ehrenurkunde", IF(R266&gt;=VLOOKUP(G266&amp;LOWER(E266), Formeln!$H$2:$K$30, 3, FALSE), "Siegerurkunde", "Teilnehmerurkunde")), "Keine Urkunde"))</f>
        <v>Keine Teilnahme</v>
      </c>
      <c r="T266" s="14" t="str">
        <f t="shared" si="10"/>
        <v>Keine Teilnahme</v>
      </c>
    </row>
    <row r="267" ht="19.5" hidden="1" customHeight="1">
      <c r="A267" s="15" t="str">
        <f>IF(ASV_Daten!A269="","",ASV_Daten!A269)</f>
        <v>R8A</v>
      </c>
      <c r="B267" s="15" t="str">
        <f>IF(ASV_Daten!B269="","",ASV_Daten!B269)</f>
        <v>Lickert</v>
      </c>
      <c r="C267" s="15" t="str">
        <f>IF(ASV_Daten!C269="","",ASV_Daten!C269)</f>
        <v>Kim</v>
      </c>
      <c r="D267" s="15">
        <f>IF(ASV_Daten!D269="","",ASV_Daten!D269)</f>
        <v>2012</v>
      </c>
      <c r="E267" s="15" t="str">
        <f>IF(ASV_Daten!E269="","",ASV_Daten!E269)</f>
        <v>W</v>
      </c>
      <c r="F267" s="16" t="str">
        <f t="shared" si="1"/>
        <v>8</v>
      </c>
      <c r="G267" s="17">
        <f t="shared" si="2"/>
        <v>14</v>
      </c>
      <c r="H267" s="18">
        <v>0.1326388888888889</v>
      </c>
      <c r="I267" s="19">
        <f t="shared" si="3"/>
        <v>331</v>
      </c>
      <c r="J267" s="19"/>
      <c r="K267" s="19">
        <f t="shared" si="11"/>
        <v>0</v>
      </c>
      <c r="L267" s="20">
        <v>3.41</v>
      </c>
      <c r="M267" s="19">
        <f t="shared" si="5"/>
        <v>362</v>
      </c>
      <c r="N267" s="20">
        <v>25.0</v>
      </c>
      <c r="O267" s="19">
        <f t="shared" si="6"/>
        <v>345</v>
      </c>
      <c r="P267" s="19" t="str">
        <f t="shared" si="7"/>
        <v>Punkte W 7-9</v>
      </c>
      <c r="Q267" s="19" t="str">
        <f t="shared" si="8"/>
        <v>Noten-Matrix-Mädchen</v>
      </c>
      <c r="R267" s="21">
        <f t="shared" si="9"/>
        <v>1038</v>
      </c>
      <c r="S267" s="19" t="str">
        <f>IF(R267=0, "Keine Teilnahme", IFERROR(IF(R267&gt;=VLOOKUP(G267&amp;LOWER(E267), Formeln!$H$2:$K$30, 4, FALSE), "Ehrenurkunde", IF(R267&gt;=VLOOKUP(G267&amp;LOWER(E267), Formeln!$H$2:$K$30, 3, FALSE), "Siegerurkunde", "Teilnehmerurkunde")), "Keine Urkunde"))</f>
        <v>Siegerurkunde</v>
      </c>
      <c r="T267" s="22">
        <f t="shared" si="10"/>
        <v>1.6</v>
      </c>
    </row>
    <row r="268" ht="19.5" hidden="1" customHeight="1">
      <c r="A268" s="7" t="str">
        <f>IF(ASV_Daten!A262="","",ASV_Daten!A262)</f>
        <v>R8A</v>
      </c>
      <c r="B268" s="7" t="str">
        <f>IF(ASV_Daten!B262="","",ASV_Daten!B262)</f>
        <v>Höll</v>
      </c>
      <c r="C268" s="7" t="str">
        <f>IF(ASV_Daten!C262="","",ASV_Daten!C262)</f>
        <v>Lotta Luise</v>
      </c>
      <c r="D268" s="7">
        <f>IF(ASV_Daten!D262="","",ASV_Daten!D262)</f>
        <v>2012</v>
      </c>
      <c r="E268" s="7" t="str">
        <f>IF(ASV_Daten!E262="","",ASV_Daten!E262)</f>
        <v>W</v>
      </c>
      <c r="F268" s="8" t="str">
        <f t="shared" si="1"/>
        <v>8</v>
      </c>
      <c r="G268" s="9">
        <f t="shared" si="2"/>
        <v>14</v>
      </c>
      <c r="H268" s="11"/>
      <c r="I268" s="11">
        <f t="shared" si="3"/>
        <v>0</v>
      </c>
      <c r="J268" s="11"/>
      <c r="K268" s="11">
        <f t="shared" si="11"/>
        <v>0</v>
      </c>
      <c r="L268" s="11"/>
      <c r="M268" s="11">
        <f t="shared" si="5"/>
        <v>0</v>
      </c>
      <c r="N268" s="11"/>
      <c r="O268" s="11">
        <f t="shared" si="6"/>
        <v>0</v>
      </c>
      <c r="P268" s="11" t="str">
        <f t="shared" si="7"/>
        <v>Punkte W 7-9</v>
      </c>
      <c r="Q268" s="11" t="str">
        <f t="shared" si="8"/>
        <v>Noten-Matrix-Mädchen</v>
      </c>
      <c r="R268" s="13">
        <f t="shared" si="9"/>
        <v>0</v>
      </c>
      <c r="S268" s="11" t="str">
        <f>IF(R268=0, "Keine Teilnahme", IFERROR(IF(R268&gt;=VLOOKUP(G268&amp;LOWER(E268), Formeln!$H$2:$K$30, 4, FALSE), "Ehrenurkunde", IF(R268&gt;=VLOOKUP(G268&amp;LOWER(E268), Formeln!$H$2:$K$30, 3, FALSE), "Siegerurkunde", "Teilnehmerurkunde")), "Keine Urkunde"))</f>
        <v>Keine Teilnahme</v>
      </c>
      <c r="T268" s="14" t="str">
        <f t="shared" si="10"/>
        <v>Keine Teilnahme</v>
      </c>
    </row>
    <row r="269" ht="19.5" hidden="1" customHeight="1">
      <c r="A269" s="15" t="str">
        <f>IF(ASV_Daten!A257="","",ASV_Daten!A257)</f>
        <v>R8A</v>
      </c>
      <c r="B269" s="15" t="str">
        <f>IF(ASV_Daten!B257="","",ASV_Daten!B257)</f>
        <v>Diehm</v>
      </c>
      <c r="C269" s="15" t="str">
        <f>IF(ASV_Daten!C257="","",ASV_Daten!C257)</f>
        <v>Lova</v>
      </c>
      <c r="D269" s="15">
        <f>IF(ASV_Daten!D257="","",ASV_Daten!D257)</f>
        <v>2011</v>
      </c>
      <c r="E269" s="15" t="str">
        <f>IF(ASV_Daten!E257="","",ASV_Daten!E257)</f>
        <v>W</v>
      </c>
      <c r="F269" s="16" t="str">
        <f t="shared" si="1"/>
        <v>8</v>
      </c>
      <c r="G269" s="17">
        <f t="shared" si="2"/>
        <v>15</v>
      </c>
      <c r="H269" s="19"/>
      <c r="I269" s="19">
        <f t="shared" si="3"/>
        <v>0</v>
      </c>
      <c r="J269" s="20">
        <v>12.9</v>
      </c>
      <c r="K269" s="19">
        <f t="shared" si="11"/>
        <v>259</v>
      </c>
      <c r="L269" s="20">
        <v>2.97</v>
      </c>
      <c r="M269" s="19">
        <f t="shared" si="5"/>
        <v>302</v>
      </c>
      <c r="N269" s="20">
        <v>23.0</v>
      </c>
      <c r="O269" s="19">
        <f t="shared" si="6"/>
        <v>325</v>
      </c>
      <c r="P269" s="19" t="str">
        <f t="shared" si="7"/>
        <v>Punkte W 7-9</v>
      </c>
      <c r="Q269" s="19" t="str">
        <f t="shared" si="8"/>
        <v>Noten-Matrix-Mädchen</v>
      </c>
      <c r="R269" s="21">
        <f t="shared" si="9"/>
        <v>886</v>
      </c>
      <c r="S269" s="19" t="str">
        <f>IF(R269=0, "Keine Teilnahme", IFERROR(IF(R269&gt;=VLOOKUP(G269&amp;LOWER(E269), Formeln!$H$2:$K$30, 4, FALSE), "Ehrenurkunde", IF(R269&gt;=VLOOKUP(G269&amp;LOWER(E269), Formeln!$H$2:$K$30, 3, FALSE), "Siegerurkunde", "Teilnehmerurkunde")), "Keine Urkunde"))</f>
        <v>Teilnehmerurkunde</v>
      </c>
      <c r="T269" s="22">
        <f t="shared" si="10"/>
        <v>2.7</v>
      </c>
    </row>
    <row r="270" ht="19.5" hidden="1" customHeight="1">
      <c r="A270" s="7" t="str">
        <f>IF(ASV_Daten!A255="","",ASV_Daten!A255)</f>
        <v>R8A</v>
      </c>
      <c r="B270" s="7" t="str">
        <f>IF(ASV_Daten!B255="","",ASV_Daten!B255)</f>
        <v>Buss</v>
      </c>
      <c r="C270" s="7" t="str">
        <f>IF(ASV_Daten!C255="","",ASV_Daten!C255)</f>
        <v>Lucia</v>
      </c>
      <c r="D270" s="7">
        <f>IF(ASV_Daten!D255="","",ASV_Daten!D255)</f>
        <v>2012</v>
      </c>
      <c r="E270" s="7" t="str">
        <f>IF(ASV_Daten!E255="","",ASV_Daten!E255)</f>
        <v>W</v>
      </c>
      <c r="F270" s="8" t="str">
        <f t="shared" si="1"/>
        <v>8</v>
      </c>
      <c r="G270" s="9">
        <f t="shared" si="2"/>
        <v>14</v>
      </c>
      <c r="H270" s="11"/>
      <c r="I270" s="11">
        <f t="shared" si="3"/>
        <v>0</v>
      </c>
      <c r="J270" s="11"/>
      <c r="K270" s="11">
        <f t="shared" si="11"/>
        <v>0</v>
      </c>
      <c r="L270" s="11"/>
      <c r="M270" s="11">
        <f t="shared" si="5"/>
        <v>0</v>
      </c>
      <c r="N270" s="11"/>
      <c r="O270" s="11">
        <f t="shared" si="6"/>
        <v>0</v>
      </c>
      <c r="P270" s="11" t="str">
        <f t="shared" si="7"/>
        <v>Punkte W 7-9</v>
      </c>
      <c r="Q270" s="11" t="str">
        <f t="shared" si="8"/>
        <v>Noten-Matrix-Mädchen</v>
      </c>
      <c r="R270" s="13">
        <f t="shared" si="9"/>
        <v>0</v>
      </c>
      <c r="S270" s="11" t="str">
        <f>IF(R270=0, "Keine Teilnahme", IFERROR(IF(R270&gt;=VLOOKUP(G270&amp;LOWER(E270), Formeln!$H$2:$K$30, 4, FALSE), "Ehrenurkunde", IF(R270&gt;=VLOOKUP(G270&amp;LOWER(E270), Formeln!$H$2:$K$30, 3, FALSE), "Siegerurkunde", "Teilnehmerurkunde")), "Keine Urkunde"))</f>
        <v>Keine Teilnahme</v>
      </c>
      <c r="T270" s="14" t="str">
        <f t="shared" si="10"/>
        <v>Keine Teilnahme</v>
      </c>
    </row>
    <row r="271" ht="19.5" hidden="1" customHeight="1">
      <c r="A271" s="15" t="str">
        <f>IF(ASV_Daten!A267="","",ASV_Daten!A267)</f>
        <v>R8A</v>
      </c>
      <c r="B271" s="15" t="str">
        <f>IF(ASV_Daten!B267="","",ASV_Daten!B267)</f>
        <v>Klein</v>
      </c>
      <c r="C271" s="15" t="str">
        <f>IF(ASV_Daten!C267="","",ASV_Daten!C267)</f>
        <v>Luna</v>
      </c>
      <c r="D271" s="15">
        <f>IF(ASV_Daten!D267="","",ASV_Daten!D267)</f>
        <v>2012</v>
      </c>
      <c r="E271" s="15" t="str">
        <f>IF(ASV_Daten!E267="","",ASV_Daten!E267)</f>
        <v>W</v>
      </c>
      <c r="F271" s="16" t="str">
        <f t="shared" si="1"/>
        <v>8</v>
      </c>
      <c r="G271" s="17">
        <f t="shared" si="2"/>
        <v>14</v>
      </c>
      <c r="H271" s="18">
        <v>0.12222222222222222</v>
      </c>
      <c r="I271" s="19">
        <f t="shared" si="3"/>
        <v>389</v>
      </c>
      <c r="J271" s="19"/>
      <c r="K271" s="19">
        <f t="shared" si="11"/>
        <v>0</v>
      </c>
      <c r="L271" s="20">
        <v>3.81</v>
      </c>
      <c r="M271" s="19">
        <f t="shared" si="5"/>
        <v>412</v>
      </c>
      <c r="N271" s="20">
        <v>11.5</v>
      </c>
      <c r="O271" s="19">
        <f t="shared" si="6"/>
        <v>190</v>
      </c>
      <c r="P271" s="19" t="str">
        <f t="shared" si="7"/>
        <v>Punkte W 7-9</v>
      </c>
      <c r="Q271" s="19" t="str">
        <f t="shared" si="8"/>
        <v>Noten-Matrix-Mädchen</v>
      </c>
      <c r="R271" s="21">
        <f t="shared" si="9"/>
        <v>991</v>
      </c>
      <c r="S271" s="19" t="str">
        <f>IF(R271=0, "Keine Teilnahme", IFERROR(IF(R271&gt;=VLOOKUP(G271&amp;LOWER(E271), Formeln!$H$2:$K$30, 4, FALSE), "Ehrenurkunde", IF(R271&gt;=VLOOKUP(G271&amp;LOWER(E271), Formeln!$H$2:$K$30, 3, FALSE), "Siegerurkunde", "Teilnehmerurkunde")), "Keine Urkunde"))</f>
        <v>Siegerurkunde</v>
      </c>
      <c r="T271" s="22">
        <f t="shared" si="10"/>
        <v>1.8</v>
      </c>
    </row>
    <row r="272" ht="19.5" hidden="1" customHeight="1">
      <c r="A272" s="7" t="str">
        <f>IF(ASV_Daten!A271="","",ASV_Daten!A271)</f>
        <v>R8A</v>
      </c>
      <c r="B272" s="7" t="str">
        <f>IF(ASV_Daten!B271="","",ASV_Daten!B271)</f>
        <v>Litovchenko</v>
      </c>
      <c r="C272" s="7" t="str">
        <f>IF(ASV_Daten!C271="","",ASV_Daten!C271)</f>
        <v>Matwej</v>
      </c>
      <c r="D272" s="7">
        <f>IF(ASV_Daten!D271="","",ASV_Daten!D271)</f>
        <v>2011</v>
      </c>
      <c r="E272" s="7" t="str">
        <f>IF(ASV_Daten!E271="","",ASV_Daten!E271)</f>
        <v>M</v>
      </c>
      <c r="F272" s="8" t="str">
        <f t="shared" si="1"/>
        <v>8</v>
      </c>
      <c r="G272" s="9">
        <f t="shared" si="2"/>
        <v>15</v>
      </c>
      <c r="H272" s="11"/>
      <c r="I272" s="11">
        <f t="shared" si="3"/>
        <v>0</v>
      </c>
      <c r="J272" s="12">
        <v>13.5</v>
      </c>
      <c r="K272" s="11">
        <f t="shared" si="11"/>
        <v>204</v>
      </c>
      <c r="L272" s="12">
        <v>3.25</v>
      </c>
      <c r="M272" s="11">
        <f t="shared" si="5"/>
        <v>297</v>
      </c>
      <c r="N272" s="12">
        <v>18.5</v>
      </c>
      <c r="O272" s="11">
        <f t="shared" si="6"/>
        <v>190</v>
      </c>
      <c r="P272" s="11" t="str">
        <f t="shared" si="7"/>
        <v>Punkte M 7-9</v>
      </c>
      <c r="Q272" s="11" t="str">
        <f t="shared" si="8"/>
        <v>Noten-Matrix-Jungen</v>
      </c>
      <c r="R272" s="13">
        <f t="shared" si="9"/>
        <v>691</v>
      </c>
      <c r="S272" s="11" t="str">
        <f>IF(R272=0, "Keine Teilnahme", IFERROR(IF(R272&gt;=VLOOKUP(G272&amp;LOWER(E272), Formeln!$H$2:$K$30, 4, FALSE), "Ehrenurkunde", IF(R272&gt;=VLOOKUP(G272&amp;LOWER(E272), Formeln!$H$2:$K$30, 3, FALSE), "Siegerurkunde", "Teilnehmerurkunde")), "Keine Urkunde"))</f>
        <v>Teilnehmerurkunde</v>
      </c>
      <c r="T272" s="14" t="str">
        <f t="shared" si="10"/>
        <v>NOTE</v>
      </c>
    </row>
    <row r="273" ht="19.5" hidden="1" customHeight="1">
      <c r="A273" s="15" t="str">
        <f>IF(ASV_Daten!A270="","",ASV_Daten!A270)</f>
        <v>R8A</v>
      </c>
      <c r="B273" s="15" t="str">
        <f>IF(ASV_Daten!B270="","",ASV_Daten!B270)</f>
        <v>Lickert</v>
      </c>
      <c r="C273" s="15" t="str">
        <f>IF(ASV_Daten!C270="","",ASV_Daten!C270)</f>
        <v>Moritz</v>
      </c>
      <c r="D273" s="15">
        <f>IF(ASV_Daten!D270="","",ASV_Daten!D270)</f>
        <v>2012</v>
      </c>
      <c r="E273" s="15" t="str">
        <f>IF(ASV_Daten!E270="","",ASV_Daten!E270)</f>
        <v>M</v>
      </c>
      <c r="F273" s="16" t="str">
        <f t="shared" si="1"/>
        <v>8</v>
      </c>
      <c r="G273" s="17">
        <f t="shared" si="2"/>
        <v>14</v>
      </c>
      <c r="H273" s="19"/>
      <c r="I273" s="19">
        <f t="shared" si="3"/>
        <v>0</v>
      </c>
      <c r="J273" s="20">
        <v>11.0</v>
      </c>
      <c r="K273" s="19">
        <f t="shared" si="11"/>
        <v>387</v>
      </c>
      <c r="L273" s="20">
        <v>4.01</v>
      </c>
      <c r="M273" s="19">
        <f t="shared" si="5"/>
        <v>389</v>
      </c>
      <c r="N273" s="20">
        <v>26.0</v>
      </c>
      <c r="O273" s="19">
        <f t="shared" si="6"/>
        <v>255</v>
      </c>
      <c r="P273" s="19" t="str">
        <f t="shared" si="7"/>
        <v>Punkte M 7-9</v>
      </c>
      <c r="Q273" s="19" t="str">
        <f t="shared" si="8"/>
        <v>Noten-Matrix-Jungen</v>
      </c>
      <c r="R273" s="21">
        <f t="shared" si="9"/>
        <v>1031</v>
      </c>
      <c r="S273" s="19" t="str">
        <f>IF(R273=0, "Keine Teilnahme", IFERROR(IF(R273&gt;=VLOOKUP(G273&amp;LOWER(E273), Formeln!$H$2:$K$30, 4, FALSE), "Ehrenurkunde", IF(R273&gt;=VLOOKUP(G273&amp;LOWER(E273), Formeln!$H$2:$K$30, 3, FALSE), "Siegerurkunde", "Teilnehmerurkunde")), "Keine Urkunde"))</f>
        <v>Siegerurkunde</v>
      </c>
      <c r="T273" s="22">
        <f t="shared" si="10"/>
        <v>2</v>
      </c>
    </row>
    <row r="274" ht="19.5" hidden="1" customHeight="1">
      <c r="A274" s="7" t="str">
        <f>IF(ASV_Daten!A266="","",ASV_Daten!A266)</f>
        <v>R8A</v>
      </c>
      <c r="B274" s="7" t="str">
        <f>IF(ASV_Daten!B266="","",ASV_Daten!B266)</f>
        <v>Kelm</v>
      </c>
      <c r="C274" s="7" t="str">
        <f>IF(ASV_Daten!C266="","",ASV_Daten!C266)</f>
        <v>Riana</v>
      </c>
      <c r="D274" s="7">
        <f>IF(ASV_Daten!D266="","",ASV_Daten!D266)</f>
        <v>2012</v>
      </c>
      <c r="E274" s="7" t="str">
        <f>IF(ASV_Daten!E266="","",ASV_Daten!E266)</f>
        <v>W</v>
      </c>
      <c r="F274" s="8" t="str">
        <f t="shared" si="1"/>
        <v>8</v>
      </c>
      <c r="G274" s="9">
        <f t="shared" si="2"/>
        <v>14</v>
      </c>
      <c r="H274" s="11"/>
      <c r="I274" s="11">
        <f t="shared" si="3"/>
        <v>0</v>
      </c>
      <c r="J274" s="12">
        <v>13.8</v>
      </c>
      <c r="K274" s="11">
        <f t="shared" si="11"/>
        <v>203</v>
      </c>
      <c r="L274" s="12">
        <v>2.97</v>
      </c>
      <c r="M274" s="11">
        <f t="shared" si="5"/>
        <v>302</v>
      </c>
      <c r="N274" s="12">
        <v>13.0</v>
      </c>
      <c r="O274" s="11">
        <f t="shared" si="6"/>
        <v>210</v>
      </c>
      <c r="P274" s="11" t="str">
        <f t="shared" si="7"/>
        <v>Punkte W 7-9</v>
      </c>
      <c r="Q274" s="11" t="str">
        <f t="shared" si="8"/>
        <v>Noten-Matrix-Mädchen</v>
      </c>
      <c r="R274" s="13">
        <f t="shared" si="9"/>
        <v>715</v>
      </c>
      <c r="S274" s="11" t="str">
        <f>IF(R274=0, "Keine Teilnahme", IFERROR(IF(R274&gt;=VLOOKUP(G274&amp;LOWER(E274), Formeln!$H$2:$K$30, 4, FALSE), "Ehrenurkunde", IF(R274&gt;=VLOOKUP(G274&amp;LOWER(E274), Formeln!$H$2:$K$30, 3, FALSE), "Siegerurkunde", "Teilnehmerurkunde")), "Keine Urkunde"))</f>
        <v>Teilnehmerurkunde</v>
      </c>
      <c r="T274" s="14">
        <f t="shared" si="10"/>
        <v>3.7</v>
      </c>
    </row>
    <row r="275" ht="19.5" hidden="1" customHeight="1">
      <c r="A275" s="15" t="str">
        <f>IF(ASV_Daten!A263="","",ASV_Daten!A263)</f>
        <v>R8A</v>
      </c>
      <c r="B275" s="15" t="str">
        <f>IF(ASV_Daten!B263="","",ASV_Daten!B263)</f>
        <v>Hoxha</v>
      </c>
      <c r="C275" s="15" t="str">
        <f>IF(ASV_Daten!C263="","",ASV_Daten!C263)</f>
        <v>Selina</v>
      </c>
      <c r="D275" s="15">
        <f>IF(ASV_Daten!D263="","",ASV_Daten!D263)</f>
        <v>2010</v>
      </c>
      <c r="E275" s="15" t="str">
        <f>IF(ASV_Daten!E263="","",ASV_Daten!E263)</f>
        <v>W</v>
      </c>
      <c r="F275" s="16" t="str">
        <f t="shared" si="1"/>
        <v>8</v>
      </c>
      <c r="G275" s="17">
        <f t="shared" si="2"/>
        <v>16</v>
      </c>
      <c r="H275" s="19"/>
      <c r="I275" s="19">
        <f t="shared" si="3"/>
        <v>0</v>
      </c>
      <c r="J275" s="19"/>
      <c r="K275" s="19">
        <f t="shared" si="11"/>
        <v>0</v>
      </c>
      <c r="L275" s="19"/>
      <c r="M275" s="19">
        <f t="shared" si="5"/>
        <v>0</v>
      </c>
      <c r="N275" s="19"/>
      <c r="O275" s="19">
        <f t="shared" si="6"/>
        <v>0</v>
      </c>
      <c r="P275" s="19" t="str">
        <f t="shared" si="7"/>
        <v>Punkte W 7-9</v>
      </c>
      <c r="Q275" s="19" t="str">
        <f t="shared" si="8"/>
        <v>Noten-Matrix-Mädchen</v>
      </c>
      <c r="R275" s="21">
        <f t="shared" si="9"/>
        <v>0</v>
      </c>
      <c r="S275" s="19" t="str">
        <f>IF(R275=0, "Keine Teilnahme", IFERROR(IF(R275&gt;=VLOOKUP(G275&amp;LOWER(E275), Formeln!$H$2:$K$30, 4, FALSE), "Ehrenurkunde", IF(R275&gt;=VLOOKUP(G275&amp;LOWER(E275), Formeln!$H$2:$K$30, 3, FALSE), "Siegerurkunde", "Teilnehmerurkunde")), "Keine Urkunde"))</f>
        <v>Keine Teilnahme</v>
      </c>
      <c r="T275" s="22" t="str">
        <f t="shared" si="10"/>
        <v>Keine Teilnahme</v>
      </c>
    </row>
    <row r="276" ht="19.5" hidden="1" customHeight="1">
      <c r="A276" s="7" t="str">
        <f>IF(ASV_Daten!A260="","",ASV_Daten!A260)</f>
        <v>R8A</v>
      </c>
      <c r="B276" s="7" t="str">
        <f>IF(ASV_Daten!B260="","",ASV_Daten!B260)</f>
        <v>Ginsheimer</v>
      </c>
      <c r="C276" s="7" t="str">
        <f>IF(ASV_Daten!C260="","",ASV_Daten!C260)</f>
        <v>Sofija</v>
      </c>
      <c r="D276" s="7">
        <f>IF(ASV_Daten!D260="","",ASV_Daten!D260)</f>
        <v>2011</v>
      </c>
      <c r="E276" s="7" t="str">
        <f>IF(ASV_Daten!E260="","",ASV_Daten!E260)</f>
        <v>W</v>
      </c>
      <c r="F276" s="8" t="str">
        <f t="shared" si="1"/>
        <v>8</v>
      </c>
      <c r="G276" s="9">
        <f t="shared" si="2"/>
        <v>15</v>
      </c>
      <c r="H276" s="11"/>
      <c r="I276" s="11">
        <f t="shared" si="3"/>
        <v>0</v>
      </c>
      <c r="J276" s="12">
        <v>11.5</v>
      </c>
      <c r="K276" s="11">
        <f t="shared" si="11"/>
        <v>362</v>
      </c>
      <c r="L276" s="12">
        <v>3.61</v>
      </c>
      <c r="M276" s="11">
        <f t="shared" si="5"/>
        <v>387</v>
      </c>
      <c r="N276" s="12">
        <v>21.0</v>
      </c>
      <c r="O276" s="11">
        <f t="shared" si="6"/>
        <v>304</v>
      </c>
      <c r="P276" s="11" t="str">
        <f t="shared" si="7"/>
        <v>Punkte W 7-9</v>
      </c>
      <c r="Q276" s="11" t="str">
        <f t="shared" si="8"/>
        <v>Noten-Matrix-Mädchen</v>
      </c>
      <c r="R276" s="13">
        <f t="shared" si="9"/>
        <v>1053</v>
      </c>
      <c r="S276" s="11" t="str">
        <f>IF(R276=0, "Keine Teilnahme", IFERROR(IF(R276&gt;=VLOOKUP(G276&amp;LOWER(E276), Formeln!$H$2:$K$30, 4, FALSE), "Ehrenurkunde", IF(R276&gt;=VLOOKUP(G276&amp;LOWER(E276), Formeln!$H$2:$K$30, 3, FALSE), "Siegerurkunde", "Teilnehmerurkunde")), "Keine Urkunde"))</f>
        <v>Siegerurkunde</v>
      </c>
      <c r="T276" s="14">
        <f t="shared" si="10"/>
        <v>1.7</v>
      </c>
    </row>
    <row r="277" ht="19.5" hidden="1" customHeight="1">
      <c r="A277" s="15" t="str">
        <f>IF(ASV_Daten!A279="","",ASV_Daten!A279)</f>
        <v>R8A</v>
      </c>
      <c r="B277" s="15" t="str">
        <f>IF(ASV_Daten!B279="","",ASV_Daten!B279)</f>
        <v>Stich</v>
      </c>
      <c r="C277" s="15" t="str">
        <f>IF(ASV_Daten!C279="","",ASV_Daten!C279)</f>
        <v>Tamira</v>
      </c>
      <c r="D277" s="15">
        <f>IF(ASV_Daten!D279="","",ASV_Daten!D279)</f>
        <v>2012</v>
      </c>
      <c r="E277" s="15" t="str">
        <f>IF(ASV_Daten!E279="","",ASV_Daten!E279)</f>
        <v>W</v>
      </c>
      <c r="F277" s="16" t="str">
        <f t="shared" si="1"/>
        <v>8</v>
      </c>
      <c r="G277" s="17">
        <f t="shared" si="2"/>
        <v>14</v>
      </c>
      <c r="H277" s="19"/>
      <c r="I277" s="19">
        <f t="shared" si="3"/>
        <v>0</v>
      </c>
      <c r="J277" s="20">
        <v>12.3</v>
      </c>
      <c r="K277" s="19">
        <f t="shared" si="11"/>
        <v>300</v>
      </c>
      <c r="L277" s="20">
        <v>3.09</v>
      </c>
      <c r="M277" s="19">
        <f t="shared" si="5"/>
        <v>319</v>
      </c>
      <c r="N277" s="20">
        <v>21.0</v>
      </c>
      <c r="O277" s="19">
        <f t="shared" si="6"/>
        <v>304</v>
      </c>
      <c r="P277" s="19" t="str">
        <f t="shared" si="7"/>
        <v>Punkte W 7-9</v>
      </c>
      <c r="Q277" s="19" t="str">
        <f t="shared" si="8"/>
        <v>Noten-Matrix-Mädchen</v>
      </c>
      <c r="R277" s="21">
        <f t="shared" si="9"/>
        <v>923</v>
      </c>
      <c r="S277" s="19" t="str">
        <f>IF(R277=0, "Keine Teilnahme", IFERROR(IF(R277&gt;=VLOOKUP(G277&amp;LOWER(E277), Formeln!$H$2:$K$30, 4, FALSE), "Ehrenurkunde", IF(R277&gt;=VLOOKUP(G277&amp;LOWER(E277), Formeln!$H$2:$K$30, 3, FALSE), "Siegerurkunde", "Teilnehmerurkunde")), "Keine Urkunde"))</f>
        <v>Siegerurkunde</v>
      </c>
      <c r="T277" s="22">
        <f t="shared" si="10"/>
        <v>2.3</v>
      </c>
    </row>
    <row r="278" ht="19.5" hidden="1" customHeight="1">
      <c r="A278" s="7" t="str">
        <f>IF(ASV_Daten!A256="","",ASV_Daten!A256)</f>
        <v>R8A</v>
      </c>
      <c r="B278" s="7" t="str">
        <f>IF(ASV_Daten!B256="","",ASV_Daten!B256)</f>
        <v>Dachtler</v>
      </c>
      <c r="C278" s="7" t="str">
        <f>IF(ASV_Daten!C256="","",ASV_Daten!C256)</f>
        <v>Tobias</v>
      </c>
      <c r="D278" s="7">
        <f>IF(ASV_Daten!D256="","",ASV_Daten!D256)</f>
        <v>2011</v>
      </c>
      <c r="E278" s="7" t="str">
        <f>IF(ASV_Daten!E256="","",ASV_Daten!E256)</f>
        <v>M</v>
      </c>
      <c r="F278" s="8" t="str">
        <f t="shared" si="1"/>
        <v>8</v>
      </c>
      <c r="G278" s="9">
        <f t="shared" si="2"/>
        <v>15</v>
      </c>
      <c r="H278" s="11"/>
      <c r="I278" s="11">
        <f t="shared" si="3"/>
        <v>0</v>
      </c>
      <c r="J278" s="12">
        <v>11.6</v>
      </c>
      <c r="K278" s="11">
        <f t="shared" si="11"/>
        <v>336</v>
      </c>
      <c r="L278" s="12">
        <v>4.09</v>
      </c>
      <c r="M278" s="11">
        <f t="shared" si="5"/>
        <v>398</v>
      </c>
      <c r="N278" s="12">
        <v>37.0</v>
      </c>
      <c r="O278" s="11">
        <f t="shared" si="6"/>
        <v>334</v>
      </c>
      <c r="P278" s="11" t="str">
        <f t="shared" si="7"/>
        <v>Punkte M 7-9</v>
      </c>
      <c r="Q278" s="11" t="str">
        <f t="shared" si="8"/>
        <v>Noten-Matrix-Jungen</v>
      </c>
      <c r="R278" s="13">
        <f t="shared" si="9"/>
        <v>1068</v>
      </c>
      <c r="S278" s="11" t="str">
        <f>IF(R278=0, "Keine Teilnahme", IFERROR(IF(R278&gt;=VLOOKUP(G278&amp;LOWER(E278), Formeln!$H$2:$K$30, 4, FALSE), "Ehrenurkunde", IF(R278&gt;=VLOOKUP(G278&amp;LOWER(E278), Formeln!$H$2:$K$30, 3, FALSE), "Siegerurkunde", "Teilnehmerurkunde")), "Keine Urkunde"))</f>
        <v>Siegerurkunde</v>
      </c>
      <c r="T278" s="14">
        <f t="shared" si="10"/>
        <v>2.3</v>
      </c>
    </row>
    <row r="279" ht="19.5" hidden="1" customHeight="1">
      <c r="A279" s="15" t="str">
        <f>IF(ASV_Daten!A254="","",ASV_Daten!A254)</f>
        <v>R8A</v>
      </c>
      <c r="B279" s="15" t="str">
        <f>IF(ASV_Daten!B254="","",ASV_Daten!B254)</f>
        <v>Andris</v>
      </c>
      <c r="C279" s="15" t="str">
        <f>IF(ASV_Daten!C254="","",ASV_Daten!C254)</f>
        <v>Vinzent Lennart</v>
      </c>
      <c r="D279" s="15">
        <f>IF(ASV_Daten!D254="","",ASV_Daten!D254)</f>
        <v>2012</v>
      </c>
      <c r="E279" s="15" t="str">
        <f>IF(ASV_Daten!E254="","",ASV_Daten!E254)</f>
        <v>M</v>
      </c>
      <c r="F279" s="16" t="str">
        <f t="shared" si="1"/>
        <v>8</v>
      </c>
      <c r="G279" s="17">
        <f t="shared" si="2"/>
        <v>14</v>
      </c>
      <c r="H279" s="19"/>
      <c r="I279" s="19">
        <f t="shared" si="3"/>
        <v>0</v>
      </c>
      <c r="J279" s="20">
        <v>10.6</v>
      </c>
      <c r="K279" s="19">
        <f t="shared" si="11"/>
        <v>424</v>
      </c>
      <c r="L279" s="20">
        <v>4.45</v>
      </c>
      <c r="M279" s="19">
        <f t="shared" si="5"/>
        <v>438</v>
      </c>
      <c r="N279" s="20">
        <v>36.0</v>
      </c>
      <c r="O279" s="19">
        <f t="shared" si="6"/>
        <v>327</v>
      </c>
      <c r="P279" s="19" t="str">
        <f t="shared" si="7"/>
        <v>Punkte M 7-9</v>
      </c>
      <c r="Q279" s="19" t="str">
        <f t="shared" si="8"/>
        <v>Noten-Matrix-Jungen</v>
      </c>
      <c r="R279" s="21">
        <f t="shared" si="9"/>
        <v>1189</v>
      </c>
      <c r="S279" s="19" t="str">
        <f>IF(R279=0, "Keine Teilnahme", IFERROR(IF(R279&gt;=VLOOKUP(G279&amp;LOWER(E279), Formeln!$H$2:$K$30, 4, FALSE), "Ehrenurkunde", IF(R279&gt;=VLOOKUP(G279&amp;LOWER(E279), Formeln!$H$2:$K$30, 3, FALSE), "Siegerurkunde", "Teilnehmerurkunde")), "Keine Urkunde"))</f>
        <v>Ehrenurkunde</v>
      </c>
      <c r="T279" s="22">
        <f t="shared" si="10"/>
        <v>1.2</v>
      </c>
    </row>
    <row r="280" ht="19.5" hidden="1" customHeight="1">
      <c r="A280" s="7" t="str">
        <f>IF(ASV_Daten!A268="","",ASV_Daten!A268)</f>
        <v>R8A</v>
      </c>
      <c r="B280" s="7" t="str">
        <f>IF(ASV_Daten!B268="","",ASV_Daten!B268)</f>
        <v>Kurenkova</v>
      </c>
      <c r="C280" s="7" t="str">
        <f>IF(ASV_Daten!C268="","",ASV_Daten!C268)</f>
        <v>Vira</v>
      </c>
      <c r="D280" s="7">
        <f>IF(ASV_Daten!D268="","",ASV_Daten!D268)</f>
        <v>2011</v>
      </c>
      <c r="E280" s="7" t="str">
        <f>IF(ASV_Daten!E268="","",ASV_Daten!E268)</f>
        <v>W</v>
      </c>
      <c r="F280" s="8" t="str">
        <f t="shared" si="1"/>
        <v>8</v>
      </c>
      <c r="G280" s="9">
        <f t="shared" si="2"/>
        <v>15</v>
      </c>
      <c r="H280" s="11"/>
      <c r="I280" s="11">
        <f t="shared" si="3"/>
        <v>0</v>
      </c>
      <c r="J280" s="11"/>
      <c r="K280" s="11">
        <f t="shared" si="11"/>
        <v>0</v>
      </c>
      <c r="L280" s="11"/>
      <c r="M280" s="11">
        <f t="shared" si="5"/>
        <v>0</v>
      </c>
      <c r="N280" s="11"/>
      <c r="O280" s="11">
        <f t="shared" si="6"/>
        <v>0</v>
      </c>
      <c r="P280" s="11" t="str">
        <f t="shared" si="7"/>
        <v>Punkte W 7-9</v>
      </c>
      <c r="Q280" s="11" t="str">
        <f t="shared" si="8"/>
        <v>Noten-Matrix-Mädchen</v>
      </c>
      <c r="R280" s="13">
        <f t="shared" si="9"/>
        <v>0</v>
      </c>
      <c r="S280" s="11" t="str">
        <f>IF(R280=0, "Keine Teilnahme", IFERROR(IF(R280&gt;=VLOOKUP(G280&amp;LOWER(E280), Formeln!$H$2:$K$30, 4, FALSE), "Ehrenurkunde", IF(R280&gt;=VLOOKUP(G280&amp;LOWER(E280), Formeln!$H$2:$K$30, 3, FALSE), "Siegerurkunde", "Teilnehmerurkunde")), "Keine Urkunde"))</f>
        <v>Keine Teilnahme</v>
      </c>
      <c r="T280" s="14" t="str">
        <f t="shared" si="10"/>
        <v>Keine Teilnahme</v>
      </c>
    </row>
    <row r="281" ht="19.5" hidden="1" customHeight="1">
      <c r="A281" s="15" t="str">
        <f>IF(ASV_Daten!A287="","",ASV_Daten!A287)</f>
        <v>R8B</v>
      </c>
      <c r="B281" s="15" t="str">
        <f>IF(ASV_Daten!B287="","",ASV_Daten!B287)</f>
        <v>Haberland</v>
      </c>
      <c r="C281" s="15" t="str">
        <f>IF(ASV_Daten!C287="","",ASV_Daten!C287)</f>
        <v>Alessia</v>
      </c>
      <c r="D281" s="15">
        <f>IF(ASV_Daten!D287="","",ASV_Daten!D287)</f>
        <v>2012</v>
      </c>
      <c r="E281" s="15" t="str">
        <f>IF(ASV_Daten!E287="","",ASV_Daten!E287)</f>
        <v>W</v>
      </c>
      <c r="F281" s="16" t="str">
        <f t="shared" si="1"/>
        <v>8</v>
      </c>
      <c r="G281" s="17">
        <f t="shared" si="2"/>
        <v>14</v>
      </c>
      <c r="H281" s="25"/>
      <c r="I281" s="19">
        <f t="shared" si="3"/>
        <v>0</v>
      </c>
      <c r="J281" s="19"/>
      <c r="K281" s="19">
        <f t="shared" si="11"/>
        <v>0</v>
      </c>
      <c r="L281" s="19"/>
      <c r="M281" s="19">
        <f t="shared" si="5"/>
        <v>0</v>
      </c>
      <c r="N281" s="19"/>
      <c r="O281" s="19">
        <f t="shared" si="6"/>
        <v>0</v>
      </c>
      <c r="P281" s="19" t="str">
        <f t="shared" si="7"/>
        <v>Punkte W 7-9</v>
      </c>
      <c r="Q281" s="19" t="str">
        <f t="shared" si="8"/>
        <v>Noten-Matrix-Mädchen</v>
      </c>
      <c r="R281" s="21">
        <f t="shared" si="9"/>
        <v>0</v>
      </c>
      <c r="S281" s="19" t="str">
        <f>IF(R281=0, "Keine Teilnahme", IFERROR(IF(R281&gt;=VLOOKUP(G281&amp;LOWER(E281), Formeln!$H$2:$K$30, 4, FALSE), "Ehrenurkunde", IF(R281&gt;=VLOOKUP(G281&amp;LOWER(E281), Formeln!$H$2:$K$30, 3, FALSE), "Siegerurkunde", "Teilnehmerurkunde")), "Keine Urkunde"))</f>
        <v>Keine Teilnahme</v>
      </c>
      <c r="T281" s="22" t="str">
        <f t="shared" si="10"/>
        <v>Keine Teilnahme</v>
      </c>
    </row>
    <row r="282" ht="19.5" hidden="1" customHeight="1">
      <c r="A282" s="7" t="str">
        <f>IF(ASV_Daten!A297="","",ASV_Daten!A297)</f>
        <v>R8B</v>
      </c>
      <c r="B282" s="7" t="str">
        <f>IF(ASV_Daten!B297="","",ASV_Daten!B297)</f>
        <v>Straub</v>
      </c>
      <c r="C282" s="7" t="str">
        <f>IF(ASV_Daten!C297="","",ASV_Daten!C297)</f>
        <v>Benjamin</v>
      </c>
      <c r="D282" s="7">
        <f>IF(ASV_Daten!D297="","",ASV_Daten!D297)</f>
        <v>2011</v>
      </c>
      <c r="E282" s="7" t="str">
        <f>IF(ASV_Daten!E297="","",ASV_Daten!E297)</f>
        <v>M</v>
      </c>
      <c r="F282" s="8" t="str">
        <f t="shared" si="1"/>
        <v>8</v>
      </c>
      <c r="G282" s="9">
        <f t="shared" si="2"/>
        <v>15</v>
      </c>
      <c r="H282" s="11"/>
      <c r="I282" s="11">
        <f t="shared" si="3"/>
        <v>0</v>
      </c>
      <c r="J282" s="12">
        <v>11.4</v>
      </c>
      <c r="K282" s="11">
        <f t="shared" si="11"/>
        <v>352</v>
      </c>
      <c r="L282" s="12">
        <v>4.29</v>
      </c>
      <c r="M282" s="11">
        <f t="shared" si="5"/>
        <v>420</v>
      </c>
      <c r="N282" s="12">
        <v>25.5</v>
      </c>
      <c r="O282" s="11">
        <f t="shared" si="6"/>
        <v>251</v>
      </c>
      <c r="P282" s="11" t="str">
        <f t="shared" si="7"/>
        <v>Punkte M 7-9</v>
      </c>
      <c r="Q282" s="11" t="str">
        <f t="shared" si="8"/>
        <v>Noten-Matrix-Jungen</v>
      </c>
      <c r="R282" s="13">
        <f t="shared" si="9"/>
        <v>1023</v>
      </c>
      <c r="S282" s="11" t="str">
        <f>IF(R282=0, "Keine Teilnahme", IFERROR(IF(R282&gt;=VLOOKUP(G282&amp;LOWER(E282), Formeln!$H$2:$K$30, 4, FALSE), "Ehrenurkunde", IF(R282&gt;=VLOOKUP(G282&amp;LOWER(E282), Formeln!$H$2:$K$30, 3, FALSE), "Siegerurkunde", "Teilnehmerurkunde")), "Keine Urkunde"))</f>
        <v>Siegerurkunde</v>
      </c>
      <c r="T282" s="14">
        <f t="shared" si="10"/>
        <v>2.5</v>
      </c>
    </row>
    <row r="283" ht="19.5" hidden="1" customHeight="1">
      <c r="A283" s="15" t="str">
        <f>IF(ASV_Daten!A302="","",ASV_Daten!A302)</f>
        <v>R8B</v>
      </c>
      <c r="B283" s="15" t="str">
        <f>IF(ASV_Daten!B302="","",ASV_Daten!B302)</f>
        <v>Wickenburg</v>
      </c>
      <c r="C283" s="15" t="str">
        <f>IF(ASV_Daten!C302="","",ASV_Daten!C302)</f>
        <v>Dana</v>
      </c>
      <c r="D283" s="15">
        <f>IF(ASV_Daten!D302="","",ASV_Daten!D302)</f>
        <v>2012</v>
      </c>
      <c r="E283" s="15" t="str">
        <f>IF(ASV_Daten!E302="","",ASV_Daten!E302)</f>
        <v>W</v>
      </c>
      <c r="F283" s="16" t="str">
        <f t="shared" si="1"/>
        <v>8</v>
      </c>
      <c r="G283" s="17">
        <f t="shared" si="2"/>
        <v>14</v>
      </c>
      <c r="H283" s="19"/>
      <c r="I283" s="19">
        <f t="shared" si="3"/>
        <v>0</v>
      </c>
      <c r="J283" s="20">
        <v>13.0</v>
      </c>
      <c r="K283" s="19">
        <f t="shared" si="11"/>
        <v>252</v>
      </c>
      <c r="L283" s="20">
        <v>3.21</v>
      </c>
      <c r="M283" s="19">
        <f t="shared" si="5"/>
        <v>335</v>
      </c>
      <c r="N283" s="20">
        <v>17.0</v>
      </c>
      <c r="O283" s="19">
        <f t="shared" si="6"/>
        <v>260</v>
      </c>
      <c r="P283" s="19" t="str">
        <f t="shared" si="7"/>
        <v>Punkte W 7-9</v>
      </c>
      <c r="Q283" s="19" t="str">
        <f t="shared" si="8"/>
        <v>Noten-Matrix-Mädchen</v>
      </c>
      <c r="R283" s="21">
        <f t="shared" si="9"/>
        <v>847</v>
      </c>
      <c r="S283" s="19" t="str">
        <f>IF(R283=0, "Keine Teilnahme", IFERROR(IF(R283&gt;=VLOOKUP(G283&amp;LOWER(E283), Formeln!$H$2:$K$30, 4, FALSE), "Ehrenurkunde", IF(R283&gt;=VLOOKUP(G283&amp;LOWER(E283), Formeln!$H$2:$K$30, 3, FALSE), "Siegerurkunde", "Teilnehmerurkunde")), "Keine Urkunde"))</f>
        <v>Teilnehmerurkunde</v>
      </c>
      <c r="T283" s="22">
        <f t="shared" si="10"/>
        <v>2.8</v>
      </c>
    </row>
    <row r="284" ht="19.5" hidden="1" customHeight="1">
      <c r="A284" s="7" t="str">
        <f>IF(ASV_Daten!A289="","",ASV_Daten!A289)</f>
        <v>R8B</v>
      </c>
      <c r="B284" s="7" t="str">
        <f>IF(ASV_Daten!B289="","",ASV_Daten!B289)</f>
        <v>Hog</v>
      </c>
      <c r="C284" s="7" t="str">
        <f>IF(ASV_Daten!C289="","",ASV_Daten!C289)</f>
        <v>Elia</v>
      </c>
      <c r="D284" s="7">
        <f>IF(ASV_Daten!D289="","",ASV_Daten!D289)</f>
        <v>2011</v>
      </c>
      <c r="E284" s="7" t="str">
        <f>IF(ASV_Daten!E289="","",ASV_Daten!E289)</f>
        <v>M</v>
      </c>
      <c r="F284" s="8" t="str">
        <f t="shared" si="1"/>
        <v>8</v>
      </c>
      <c r="G284" s="9">
        <f t="shared" si="2"/>
        <v>15</v>
      </c>
      <c r="H284" s="27"/>
      <c r="I284" s="11">
        <f t="shared" si="3"/>
        <v>0</v>
      </c>
      <c r="J284" s="11"/>
      <c r="K284" s="11">
        <f t="shared" si="11"/>
        <v>0</v>
      </c>
      <c r="L284" s="12">
        <v>3.97</v>
      </c>
      <c r="M284" s="11">
        <f t="shared" si="5"/>
        <v>384</v>
      </c>
      <c r="N284" s="12">
        <v>28.5</v>
      </c>
      <c r="O284" s="11">
        <f t="shared" si="6"/>
        <v>274</v>
      </c>
      <c r="P284" s="11" t="str">
        <f t="shared" si="7"/>
        <v>Punkte M 7-9</v>
      </c>
      <c r="Q284" s="11" t="str">
        <f t="shared" si="8"/>
        <v>Noten-Matrix-Jungen</v>
      </c>
      <c r="R284" s="13">
        <f t="shared" si="9"/>
        <v>658</v>
      </c>
      <c r="S284" s="11" t="str">
        <f>IF(R284=0, "Keine Teilnahme", IFERROR(IF(R284&gt;=VLOOKUP(G284&amp;LOWER(E284), Formeln!$H$2:$K$30, 4, FALSE), "Ehrenurkunde", IF(R284&gt;=VLOOKUP(G284&amp;LOWER(E284), Formeln!$H$2:$K$30, 3, FALSE), "Siegerurkunde", "Teilnehmerurkunde")), "Keine Urkunde"))</f>
        <v>Teilnehmerurkunde</v>
      </c>
      <c r="T284" s="14" t="str">
        <f t="shared" si="10"/>
        <v>NOTE</v>
      </c>
    </row>
    <row r="285" ht="19.5" hidden="1" customHeight="1">
      <c r="A285" s="15" t="str">
        <f>IF(ASV_Daten!A288="","",ASV_Daten!A288)</f>
        <v>R8B</v>
      </c>
      <c r="B285" s="15" t="str">
        <f>IF(ASV_Daten!B288="","",ASV_Daten!B288)</f>
        <v>Herling</v>
      </c>
      <c r="C285" s="15" t="str">
        <f>IF(ASV_Daten!C288="","",ASV_Daten!C288)</f>
        <v>Felix</v>
      </c>
      <c r="D285" s="15">
        <f>IF(ASV_Daten!D288="","",ASV_Daten!D288)</f>
        <v>2012</v>
      </c>
      <c r="E285" s="15" t="str">
        <f>IF(ASV_Daten!E288="","",ASV_Daten!E288)</f>
        <v>M</v>
      </c>
      <c r="F285" s="16" t="str">
        <f t="shared" si="1"/>
        <v>8</v>
      </c>
      <c r="G285" s="17">
        <f t="shared" si="2"/>
        <v>14</v>
      </c>
      <c r="H285" s="19"/>
      <c r="I285" s="19">
        <f t="shared" si="3"/>
        <v>0</v>
      </c>
      <c r="J285" s="20">
        <v>10.7</v>
      </c>
      <c r="K285" s="19">
        <f t="shared" si="11"/>
        <v>414</v>
      </c>
      <c r="L285" s="20">
        <v>4.69</v>
      </c>
      <c r="M285" s="19">
        <f t="shared" si="5"/>
        <v>463</v>
      </c>
      <c r="N285" s="20">
        <v>36.5</v>
      </c>
      <c r="O285" s="19">
        <f t="shared" si="6"/>
        <v>331</v>
      </c>
      <c r="P285" s="19" t="str">
        <f t="shared" si="7"/>
        <v>Punkte M 7-9</v>
      </c>
      <c r="Q285" s="19" t="str">
        <f t="shared" si="8"/>
        <v>Noten-Matrix-Jungen</v>
      </c>
      <c r="R285" s="21">
        <f t="shared" si="9"/>
        <v>1208</v>
      </c>
      <c r="S285" s="19" t="str">
        <f>IF(R285=0, "Keine Teilnahme", IFERROR(IF(R285&gt;=VLOOKUP(G285&amp;LOWER(E285), Formeln!$H$2:$K$30, 4, FALSE), "Ehrenurkunde", IF(R285&gt;=VLOOKUP(G285&amp;LOWER(E285), Formeln!$H$2:$K$30, 3, FALSE), "Siegerurkunde", "Teilnehmerurkunde")), "Keine Urkunde"))</f>
        <v>Ehrenurkunde</v>
      </c>
      <c r="T285" s="22">
        <f t="shared" si="10"/>
        <v>1.1</v>
      </c>
    </row>
    <row r="286" ht="19.5" hidden="1" customHeight="1">
      <c r="A286" s="7" t="str">
        <f>IF(ASV_Daten!A300="","",ASV_Daten!A300)</f>
        <v>R8B</v>
      </c>
      <c r="B286" s="7" t="str">
        <f>IF(ASV_Daten!B300="","",ASV_Daten!B300)</f>
        <v>Waldvogel</v>
      </c>
      <c r="C286" s="7" t="str">
        <f>IF(ASV_Daten!C300="","",ASV_Daten!C300)</f>
        <v>Fenja</v>
      </c>
      <c r="D286" s="7">
        <f>IF(ASV_Daten!D300="","",ASV_Daten!D300)</f>
        <v>2012</v>
      </c>
      <c r="E286" s="7" t="str">
        <f>IF(ASV_Daten!E300="","",ASV_Daten!E300)</f>
        <v>W</v>
      </c>
      <c r="F286" s="8" t="str">
        <f t="shared" si="1"/>
        <v>8</v>
      </c>
      <c r="G286" s="9">
        <f t="shared" si="2"/>
        <v>14</v>
      </c>
      <c r="H286" s="11"/>
      <c r="I286" s="11">
        <f t="shared" si="3"/>
        <v>0</v>
      </c>
      <c r="J286" s="12">
        <v>12.4</v>
      </c>
      <c r="K286" s="11">
        <f t="shared" si="11"/>
        <v>293</v>
      </c>
      <c r="L286" s="12">
        <v>3.01</v>
      </c>
      <c r="M286" s="11">
        <f t="shared" si="5"/>
        <v>308</v>
      </c>
      <c r="N286" s="12">
        <v>17.5</v>
      </c>
      <c r="O286" s="11">
        <f t="shared" si="6"/>
        <v>266</v>
      </c>
      <c r="P286" s="11" t="str">
        <f t="shared" si="7"/>
        <v>Punkte W 7-9</v>
      </c>
      <c r="Q286" s="11" t="str">
        <f t="shared" si="8"/>
        <v>Noten-Matrix-Mädchen</v>
      </c>
      <c r="R286" s="13">
        <f t="shared" si="9"/>
        <v>867</v>
      </c>
      <c r="S286" s="11" t="str">
        <f>IF(R286=0, "Keine Teilnahme", IFERROR(IF(R286&gt;=VLOOKUP(G286&amp;LOWER(E286), Formeln!$H$2:$K$30, 4, FALSE), "Ehrenurkunde", IF(R286&gt;=VLOOKUP(G286&amp;LOWER(E286), Formeln!$H$2:$K$30, 3, FALSE), "Siegerurkunde", "Teilnehmerurkunde")), "Keine Urkunde"))</f>
        <v>Teilnehmerurkunde</v>
      </c>
      <c r="T286" s="14">
        <f t="shared" si="10"/>
        <v>2.6</v>
      </c>
    </row>
    <row r="287" ht="19.5" hidden="1" customHeight="1">
      <c r="A287" s="15" t="str">
        <f>IF(ASV_Daten!A282="","",ASV_Daten!A282)</f>
        <v>R8B</v>
      </c>
      <c r="B287" s="15" t="str">
        <f>IF(ASV_Daten!B282="","",ASV_Daten!B282)</f>
        <v>Di Bello</v>
      </c>
      <c r="C287" s="15" t="str">
        <f>IF(ASV_Daten!C282="","",ASV_Daten!C282)</f>
        <v>Gianluca</v>
      </c>
      <c r="D287" s="15">
        <f>IF(ASV_Daten!D282="","",ASV_Daten!D282)</f>
        <v>2011</v>
      </c>
      <c r="E287" s="15" t="str">
        <f>IF(ASV_Daten!E282="","",ASV_Daten!E282)</f>
        <v>M</v>
      </c>
      <c r="F287" s="16" t="str">
        <f t="shared" si="1"/>
        <v>8</v>
      </c>
      <c r="G287" s="17">
        <f t="shared" si="2"/>
        <v>15</v>
      </c>
      <c r="H287" s="25"/>
      <c r="I287" s="19">
        <f t="shared" si="3"/>
        <v>0</v>
      </c>
      <c r="J287" s="20">
        <v>12.9</v>
      </c>
      <c r="K287" s="19">
        <f t="shared" si="11"/>
        <v>242</v>
      </c>
      <c r="L287" s="20">
        <v>3.53</v>
      </c>
      <c r="M287" s="19">
        <f t="shared" si="5"/>
        <v>332</v>
      </c>
      <c r="N287" s="20">
        <v>22.5</v>
      </c>
      <c r="O287" s="19">
        <f t="shared" si="6"/>
        <v>226</v>
      </c>
      <c r="P287" s="19" t="str">
        <f t="shared" si="7"/>
        <v>Punkte M 7-9</v>
      </c>
      <c r="Q287" s="19" t="str">
        <f t="shared" si="8"/>
        <v>Noten-Matrix-Jungen</v>
      </c>
      <c r="R287" s="21">
        <f t="shared" si="9"/>
        <v>800</v>
      </c>
      <c r="S287" s="19" t="str">
        <f>IF(R287=0, "Keine Teilnahme", IFERROR(IF(R287&gt;=VLOOKUP(G287&amp;LOWER(E287), Formeln!$H$2:$K$30, 4, FALSE), "Ehrenurkunde", IF(R287&gt;=VLOOKUP(G287&amp;LOWER(E287), Formeln!$H$2:$K$30, 3, FALSE), "Siegerurkunde", "Teilnehmerurkunde")), "Keine Urkunde"))</f>
        <v>Teilnehmerurkunde</v>
      </c>
      <c r="T287" s="22">
        <f t="shared" si="10"/>
        <v>4.1</v>
      </c>
    </row>
    <row r="288" ht="19.5" hidden="1" customHeight="1">
      <c r="A288" s="7" t="str">
        <f>IF(ASV_Daten!A294="","",ASV_Daten!A294)</f>
        <v>R8B</v>
      </c>
      <c r="B288" s="7" t="str">
        <f>IF(ASV_Daten!B294="","",ASV_Daten!B294)</f>
        <v>Saggiomo</v>
      </c>
      <c r="C288" s="7" t="str">
        <f>IF(ASV_Daten!C294="","",ASV_Daten!C294)</f>
        <v>Giulia</v>
      </c>
      <c r="D288" s="7">
        <f>IF(ASV_Daten!D294="","",ASV_Daten!D294)</f>
        <v>2012</v>
      </c>
      <c r="E288" s="7" t="str">
        <f>IF(ASV_Daten!E294="","",ASV_Daten!E294)</f>
        <v>W</v>
      </c>
      <c r="F288" s="8" t="str">
        <f t="shared" si="1"/>
        <v>8</v>
      </c>
      <c r="G288" s="9">
        <f t="shared" si="2"/>
        <v>14</v>
      </c>
      <c r="H288" s="11"/>
      <c r="I288" s="11">
        <f t="shared" si="3"/>
        <v>0</v>
      </c>
      <c r="J288" s="11"/>
      <c r="K288" s="11">
        <f t="shared" si="11"/>
        <v>0</v>
      </c>
      <c r="L288" s="11"/>
      <c r="M288" s="11">
        <f t="shared" si="5"/>
        <v>0</v>
      </c>
      <c r="N288" s="11"/>
      <c r="O288" s="11">
        <f t="shared" si="6"/>
        <v>0</v>
      </c>
      <c r="P288" s="11" t="str">
        <f t="shared" si="7"/>
        <v>Punkte W 7-9</v>
      </c>
      <c r="Q288" s="11" t="str">
        <f t="shared" si="8"/>
        <v>Noten-Matrix-Mädchen</v>
      </c>
      <c r="R288" s="13">
        <f t="shared" si="9"/>
        <v>0</v>
      </c>
      <c r="S288" s="11" t="str">
        <f>IF(R288=0, "Keine Teilnahme", IFERROR(IF(R288&gt;=VLOOKUP(G288&amp;LOWER(E288), Formeln!$H$2:$K$30, 4, FALSE), "Ehrenurkunde", IF(R288&gt;=VLOOKUP(G288&amp;LOWER(E288), Formeln!$H$2:$K$30, 3, FALSE), "Siegerurkunde", "Teilnehmerurkunde")), "Keine Urkunde"))</f>
        <v>Keine Teilnahme</v>
      </c>
      <c r="T288" s="14" t="str">
        <f t="shared" si="10"/>
        <v>Keine Teilnahme</v>
      </c>
    </row>
    <row r="289" ht="19.5" hidden="1" customHeight="1">
      <c r="A289" s="15" t="str">
        <f>IF(ASV_Daten!A285="","",ASV_Daten!A285)</f>
        <v>R8B</v>
      </c>
      <c r="B289" s="15" t="str">
        <f>IF(ASV_Daten!B285="","",ASV_Daten!B285)</f>
        <v>Gabriele</v>
      </c>
      <c r="C289" s="15" t="str">
        <f>IF(ASV_Daten!C285="","",ASV_Daten!C285)</f>
        <v>Ilaria</v>
      </c>
      <c r="D289" s="15">
        <f>IF(ASV_Daten!D285="","",ASV_Daten!D285)</f>
        <v>2012</v>
      </c>
      <c r="E289" s="15" t="str">
        <f>IF(ASV_Daten!E285="","",ASV_Daten!E285)</f>
        <v>W</v>
      </c>
      <c r="F289" s="16" t="str">
        <f t="shared" si="1"/>
        <v>8</v>
      </c>
      <c r="G289" s="17">
        <f t="shared" si="2"/>
        <v>14</v>
      </c>
      <c r="H289" s="19"/>
      <c r="I289" s="19">
        <f t="shared" si="3"/>
        <v>0</v>
      </c>
      <c r="J289" s="20">
        <v>12.9</v>
      </c>
      <c r="K289" s="19">
        <f t="shared" si="11"/>
        <v>259</v>
      </c>
      <c r="L289" s="20">
        <v>2.81</v>
      </c>
      <c r="M289" s="19">
        <f t="shared" si="5"/>
        <v>280</v>
      </c>
      <c r="N289" s="20">
        <v>14.5</v>
      </c>
      <c r="O289" s="19">
        <f t="shared" si="6"/>
        <v>230</v>
      </c>
      <c r="P289" s="19" t="str">
        <f t="shared" si="7"/>
        <v>Punkte W 7-9</v>
      </c>
      <c r="Q289" s="19" t="str">
        <f t="shared" si="8"/>
        <v>Noten-Matrix-Mädchen</v>
      </c>
      <c r="R289" s="21">
        <f t="shared" si="9"/>
        <v>769</v>
      </c>
      <c r="S289" s="19" t="str">
        <f>IF(R289=0, "Keine Teilnahme", IFERROR(IF(R289&gt;=VLOOKUP(G289&amp;LOWER(E289), Formeln!$H$2:$K$30, 4, FALSE), "Ehrenurkunde", IF(R289&gt;=VLOOKUP(G289&amp;LOWER(E289), Formeln!$H$2:$K$30, 3, FALSE), "Siegerurkunde", "Teilnehmerurkunde")), "Keine Urkunde"))</f>
        <v>Teilnehmerurkunde</v>
      </c>
      <c r="T289" s="22">
        <f t="shared" si="10"/>
        <v>3.3</v>
      </c>
    </row>
    <row r="290" ht="19.5" hidden="1" customHeight="1">
      <c r="A290" s="7" t="str">
        <f>IF(ASV_Daten!A293="","",ASV_Daten!A293)</f>
        <v>R8B</v>
      </c>
      <c r="B290" s="7" t="str">
        <f>IF(ASV_Daten!B293="","",ASV_Daten!B293)</f>
        <v>Roso</v>
      </c>
      <c r="C290" s="7" t="str">
        <f>IF(ASV_Daten!C293="","",ASV_Daten!C293)</f>
        <v>Ivan Mateo</v>
      </c>
      <c r="D290" s="7">
        <f>IF(ASV_Daten!D293="","",ASV_Daten!D293)</f>
        <v>2012</v>
      </c>
      <c r="E290" s="7" t="str">
        <f>IF(ASV_Daten!E293="","",ASV_Daten!E293)</f>
        <v>M</v>
      </c>
      <c r="F290" s="8" t="str">
        <f t="shared" si="1"/>
        <v>8</v>
      </c>
      <c r="G290" s="9">
        <f t="shared" si="2"/>
        <v>14</v>
      </c>
      <c r="H290" s="11"/>
      <c r="I290" s="11">
        <f t="shared" si="3"/>
        <v>0</v>
      </c>
      <c r="J290" s="12">
        <v>10.6</v>
      </c>
      <c r="K290" s="11">
        <f t="shared" si="11"/>
        <v>424</v>
      </c>
      <c r="L290" s="12">
        <v>4.09</v>
      </c>
      <c r="M290" s="11">
        <f t="shared" si="5"/>
        <v>398</v>
      </c>
      <c r="N290" s="12">
        <v>40.0</v>
      </c>
      <c r="O290" s="11">
        <f t="shared" si="6"/>
        <v>353</v>
      </c>
      <c r="P290" s="11" t="str">
        <f t="shared" si="7"/>
        <v>Punkte M 7-9</v>
      </c>
      <c r="Q290" s="11" t="str">
        <f t="shared" si="8"/>
        <v>Noten-Matrix-Jungen</v>
      </c>
      <c r="R290" s="13">
        <f t="shared" si="9"/>
        <v>1175</v>
      </c>
      <c r="S290" s="11" t="str">
        <f>IF(R290=0, "Keine Teilnahme", IFERROR(IF(R290&gt;=VLOOKUP(G290&amp;LOWER(E290), Formeln!$H$2:$K$30, 4, FALSE), "Ehrenurkunde", IF(R290&gt;=VLOOKUP(G290&amp;LOWER(E290), Formeln!$H$2:$K$30, 3, FALSE), "Siegerurkunde", "Teilnehmerurkunde")), "Keine Urkunde"))</f>
        <v>Ehrenurkunde</v>
      </c>
      <c r="T290" s="14">
        <f t="shared" si="10"/>
        <v>1.3</v>
      </c>
    </row>
    <row r="291" ht="19.5" hidden="1" customHeight="1">
      <c r="A291" s="15" t="str">
        <f>IF(ASV_Daten!A280="","",ASV_Daten!A280)</f>
        <v>R8B</v>
      </c>
      <c r="B291" s="15" t="str">
        <f>IF(ASV_Daten!B280="","",ASV_Daten!B280)</f>
        <v>Bläsing</v>
      </c>
      <c r="C291" s="15" t="str">
        <f>IF(ASV_Daten!C280="","",ASV_Daten!C280)</f>
        <v>Jan</v>
      </c>
      <c r="D291" s="15">
        <f>IF(ASV_Daten!D280="","",ASV_Daten!D280)</f>
        <v>2012</v>
      </c>
      <c r="E291" s="15" t="str">
        <f>IF(ASV_Daten!E280="","",ASV_Daten!E280)</f>
        <v>M</v>
      </c>
      <c r="F291" s="16" t="str">
        <f t="shared" si="1"/>
        <v>8</v>
      </c>
      <c r="G291" s="17">
        <f t="shared" si="2"/>
        <v>14</v>
      </c>
      <c r="H291" s="19"/>
      <c r="I291" s="19">
        <f t="shared" si="3"/>
        <v>0</v>
      </c>
      <c r="J291" s="20">
        <v>12.2</v>
      </c>
      <c r="K291" s="19">
        <f t="shared" si="11"/>
        <v>290</v>
      </c>
      <c r="L291" s="20">
        <v>3.81</v>
      </c>
      <c r="M291" s="19">
        <f t="shared" si="5"/>
        <v>366</v>
      </c>
      <c r="N291" s="20">
        <v>23.5</v>
      </c>
      <c r="O291" s="19">
        <f t="shared" si="6"/>
        <v>234</v>
      </c>
      <c r="P291" s="19" t="str">
        <f t="shared" si="7"/>
        <v>Punkte M 7-9</v>
      </c>
      <c r="Q291" s="19" t="str">
        <f t="shared" si="8"/>
        <v>Noten-Matrix-Jungen</v>
      </c>
      <c r="R291" s="21">
        <f t="shared" si="9"/>
        <v>890</v>
      </c>
      <c r="S291" s="19" t="str">
        <f>IF(R291=0, "Keine Teilnahme", IFERROR(IF(R291&gt;=VLOOKUP(G291&amp;LOWER(E291), Formeln!$H$2:$K$30, 4, FALSE), "Ehrenurkunde", IF(R291&gt;=VLOOKUP(G291&amp;LOWER(E291), Formeln!$H$2:$K$30, 3, FALSE), "Siegerurkunde", "Teilnehmerurkunde")), "Keine Urkunde"))</f>
        <v>Teilnehmerurkunde</v>
      </c>
      <c r="T291" s="22">
        <f t="shared" si="10"/>
        <v>2.8</v>
      </c>
    </row>
    <row r="292" ht="19.5" hidden="1" customHeight="1">
      <c r="A292" s="7" t="str">
        <f>IF(ASV_Daten!A283="","",ASV_Daten!A283)</f>
        <v>R8B</v>
      </c>
      <c r="B292" s="7" t="str">
        <f>IF(ASV_Daten!B283="","",ASV_Daten!B283)</f>
        <v>Emde</v>
      </c>
      <c r="C292" s="7" t="str">
        <f>IF(ASV_Daten!C283="","",ASV_Daten!C283)</f>
        <v>Janosch</v>
      </c>
      <c r="D292" s="7">
        <f>IF(ASV_Daten!D283="","",ASV_Daten!D283)</f>
        <v>2012</v>
      </c>
      <c r="E292" s="7" t="str">
        <f>IF(ASV_Daten!E283="","",ASV_Daten!E283)</f>
        <v>M</v>
      </c>
      <c r="F292" s="8" t="str">
        <f t="shared" si="1"/>
        <v>8</v>
      </c>
      <c r="G292" s="9">
        <f t="shared" si="2"/>
        <v>14</v>
      </c>
      <c r="H292" s="10">
        <v>0.14722222222222223</v>
      </c>
      <c r="I292" s="11">
        <f t="shared" si="3"/>
        <v>426</v>
      </c>
      <c r="J292" s="11"/>
      <c r="K292" s="11">
        <f t="shared" si="11"/>
        <v>0</v>
      </c>
      <c r="L292" s="12">
        <v>3.97</v>
      </c>
      <c r="M292" s="11">
        <f t="shared" si="5"/>
        <v>384</v>
      </c>
      <c r="N292" s="12">
        <v>30.5</v>
      </c>
      <c r="O292" s="11">
        <f t="shared" si="6"/>
        <v>289</v>
      </c>
      <c r="P292" s="11" t="str">
        <f t="shared" si="7"/>
        <v>Punkte M 7-9</v>
      </c>
      <c r="Q292" s="11" t="str">
        <f t="shared" si="8"/>
        <v>Noten-Matrix-Jungen</v>
      </c>
      <c r="R292" s="13">
        <f t="shared" si="9"/>
        <v>1099</v>
      </c>
      <c r="S292" s="11" t="str">
        <f>IF(R292=0, "Keine Teilnahme", IFERROR(IF(R292&gt;=VLOOKUP(G292&amp;LOWER(E292), Formeln!$H$2:$K$30, 4, FALSE), "Ehrenurkunde", IF(R292&gt;=VLOOKUP(G292&amp;LOWER(E292), Formeln!$H$2:$K$30, 3, FALSE), "Siegerurkunde", "Teilnehmerurkunde")), "Keine Urkunde"))</f>
        <v>Siegerurkunde</v>
      </c>
      <c r="T292" s="14">
        <f t="shared" si="10"/>
        <v>1.7</v>
      </c>
    </row>
    <row r="293" ht="19.5" hidden="1" customHeight="1">
      <c r="A293" s="15" t="str">
        <f>IF(ASV_Daten!A295="","",ASV_Daten!A295)</f>
        <v>R8B</v>
      </c>
      <c r="B293" s="15" t="str">
        <f>IF(ASV_Daten!B295="","",ASV_Daten!B295)</f>
        <v>Seißer</v>
      </c>
      <c r="C293" s="15" t="str">
        <f>IF(ASV_Daten!C295="","",ASV_Daten!C295)</f>
        <v>Klara</v>
      </c>
      <c r="D293" s="15">
        <f>IF(ASV_Daten!D295="","",ASV_Daten!D295)</f>
        <v>2012</v>
      </c>
      <c r="E293" s="15" t="str">
        <f>IF(ASV_Daten!E295="","",ASV_Daten!E295)</f>
        <v>W</v>
      </c>
      <c r="F293" s="16" t="str">
        <f t="shared" si="1"/>
        <v>8</v>
      </c>
      <c r="G293" s="17">
        <f t="shared" si="2"/>
        <v>14</v>
      </c>
      <c r="H293" s="19"/>
      <c r="I293" s="19">
        <f t="shared" si="3"/>
        <v>0</v>
      </c>
      <c r="J293" s="19"/>
      <c r="K293" s="19">
        <f t="shared" si="11"/>
        <v>0</v>
      </c>
      <c r="L293" s="19"/>
      <c r="M293" s="19">
        <f t="shared" si="5"/>
        <v>0</v>
      </c>
      <c r="N293" s="19"/>
      <c r="O293" s="19">
        <f t="shared" si="6"/>
        <v>0</v>
      </c>
      <c r="P293" s="19" t="str">
        <f t="shared" si="7"/>
        <v>Punkte W 7-9</v>
      </c>
      <c r="Q293" s="19" t="str">
        <f t="shared" si="8"/>
        <v>Noten-Matrix-Mädchen</v>
      </c>
      <c r="R293" s="21">
        <f t="shared" si="9"/>
        <v>0</v>
      </c>
      <c r="S293" s="19" t="str">
        <f>IF(R293=0, "Keine Teilnahme", IFERROR(IF(R293&gt;=VLOOKUP(G293&amp;LOWER(E293), Formeln!$H$2:$K$30, 4, FALSE), "Ehrenurkunde", IF(R293&gt;=VLOOKUP(G293&amp;LOWER(E293), Formeln!$H$2:$K$30, 3, FALSE), "Siegerurkunde", "Teilnehmerurkunde")), "Keine Urkunde"))</f>
        <v>Keine Teilnahme</v>
      </c>
      <c r="T293" s="22" t="str">
        <f t="shared" si="10"/>
        <v>Keine Teilnahme</v>
      </c>
    </row>
    <row r="294" ht="19.5" hidden="1" customHeight="1">
      <c r="A294" s="7" t="str">
        <f>IF(ASV_Daten!A281="","",ASV_Daten!A281)</f>
        <v>R8B</v>
      </c>
      <c r="B294" s="7" t="str">
        <f>IF(ASV_Daten!B281="","",ASV_Daten!B281)</f>
        <v>Dell</v>
      </c>
      <c r="C294" s="7" t="str">
        <f>IF(ASV_Daten!C281="","",ASV_Daten!C281)</f>
        <v>Lea</v>
      </c>
      <c r="D294" s="7">
        <f>IF(ASV_Daten!D281="","",ASV_Daten!D281)</f>
        <v>2011</v>
      </c>
      <c r="E294" s="7" t="str">
        <f>IF(ASV_Daten!E281="","",ASV_Daten!E281)</f>
        <v>W</v>
      </c>
      <c r="F294" s="8" t="str">
        <f t="shared" si="1"/>
        <v>8</v>
      </c>
      <c r="G294" s="9">
        <f t="shared" si="2"/>
        <v>15</v>
      </c>
      <c r="H294" s="11"/>
      <c r="I294" s="11">
        <f t="shared" si="3"/>
        <v>0</v>
      </c>
      <c r="J294" s="12">
        <v>14.2</v>
      </c>
      <c r="K294" s="11">
        <f t="shared" si="11"/>
        <v>181</v>
      </c>
      <c r="L294" s="12">
        <v>2.69</v>
      </c>
      <c r="M294" s="11">
        <f t="shared" si="5"/>
        <v>262</v>
      </c>
      <c r="N294" s="12">
        <v>16.5</v>
      </c>
      <c r="O294" s="11">
        <f t="shared" si="6"/>
        <v>254</v>
      </c>
      <c r="P294" s="11" t="str">
        <f t="shared" si="7"/>
        <v>Punkte W 7-9</v>
      </c>
      <c r="Q294" s="11" t="str">
        <f t="shared" si="8"/>
        <v>Noten-Matrix-Mädchen</v>
      </c>
      <c r="R294" s="13">
        <f t="shared" si="9"/>
        <v>697</v>
      </c>
      <c r="S294" s="11" t="str">
        <f>IF(R294=0, "Keine Teilnahme", IFERROR(IF(R294&gt;=VLOOKUP(G294&amp;LOWER(E294), Formeln!$H$2:$K$30, 4, FALSE), "Ehrenurkunde", IF(R294&gt;=VLOOKUP(G294&amp;LOWER(E294), Formeln!$H$2:$K$30, 3, FALSE), "Siegerurkunde", "Teilnehmerurkunde")), "Keine Urkunde"))</f>
        <v>Teilnehmerurkunde</v>
      </c>
      <c r="T294" s="14">
        <f t="shared" si="10"/>
        <v>4.1</v>
      </c>
    </row>
    <row r="295" ht="19.5" hidden="1" customHeight="1">
      <c r="A295" s="15" t="str">
        <f>IF(ASV_Daten!A284="","",ASV_Daten!A284)</f>
        <v>R8B</v>
      </c>
      <c r="B295" s="15" t="str">
        <f>IF(ASV_Daten!B284="","",ASV_Daten!B284)</f>
        <v>Fries-Beckmann</v>
      </c>
      <c r="C295" s="15" t="str">
        <f>IF(ASV_Daten!C284="","",ASV_Daten!C284)</f>
        <v>Lenn</v>
      </c>
      <c r="D295" s="15">
        <f>IF(ASV_Daten!D284="","",ASV_Daten!D284)</f>
        <v>2011</v>
      </c>
      <c r="E295" s="15" t="str">
        <f>IF(ASV_Daten!E284="","",ASV_Daten!E284)</f>
        <v>M</v>
      </c>
      <c r="F295" s="16" t="str">
        <f t="shared" si="1"/>
        <v>8</v>
      </c>
      <c r="G295" s="17">
        <f t="shared" si="2"/>
        <v>15</v>
      </c>
      <c r="H295" s="19"/>
      <c r="I295" s="19">
        <f t="shared" si="3"/>
        <v>0</v>
      </c>
      <c r="J295" s="19"/>
      <c r="K295" s="19">
        <f t="shared" si="11"/>
        <v>0</v>
      </c>
      <c r="L295" s="19"/>
      <c r="M295" s="19">
        <f t="shared" si="5"/>
        <v>0</v>
      </c>
      <c r="N295" s="19"/>
      <c r="O295" s="19">
        <f t="shared" si="6"/>
        <v>0</v>
      </c>
      <c r="P295" s="19" t="str">
        <f t="shared" si="7"/>
        <v>Punkte M 7-9</v>
      </c>
      <c r="Q295" s="19" t="str">
        <f t="shared" si="8"/>
        <v>Noten-Matrix-Jungen</v>
      </c>
      <c r="R295" s="21">
        <f t="shared" si="9"/>
        <v>0</v>
      </c>
      <c r="S295" s="19" t="str">
        <f>IF(R295=0, "Keine Teilnahme", IFERROR(IF(R295&gt;=VLOOKUP(G295&amp;LOWER(E295), Formeln!$H$2:$K$30, 4, FALSE), "Ehrenurkunde", IF(R295&gt;=VLOOKUP(G295&amp;LOWER(E295), Formeln!$H$2:$K$30, 3, FALSE), "Siegerurkunde", "Teilnehmerurkunde")), "Keine Urkunde"))</f>
        <v>Keine Teilnahme</v>
      </c>
      <c r="T295" s="22" t="str">
        <f t="shared" si="10"/>
        <v>Keine Teilnahme</v>
      </c>
    </row>
    <row r="296" ht="19.5" hidden="1" customHeight="1">
      <c r="A296" s="7" t="str">
        <f>IF(ASV_Daten!A292="","",ASV_Daten!A292)</f>
        <v>R8B</v>
      </c>
      <c r="B296" s="7" t="str">
        <f>IF(ASV_Daten!B292="","",ASV_Daten!B292)</f>
        <v>Riedler</v>
      </c>
      <c r="C296" s="7" t="str">
        <f>IF(ASV_Daten!C292="","",ASV_Daten!C292)</f>
        <v>Leo</v>
      </c>
      <c r="D296" s="7">
        <f>IF(ASV_Daten!D292="","",ASV_Daten!D292)</f>
        <v>2010</v>
      </c>
      <c r="E296" s="7" t="str">
        <f>IF(ASV_Daten!E292="","",ASV_Daten!E292)</f>
        <v>M</v>
      </c>
      <c r="F296" s="8" t="str">
        <f t="shared" si="1"/>
        <v>8</v>
      </c>
      <c r="G296" s="9">
        <f t="shared" si="2"/>
        <v>16</v>
      </c>
      <c r="H296" s="11"/>
      <c r="I296" s="11">
        <f t="shared" si="3"/>
        <v>0</v>
      </c>
      <c r="J296" s="11"/>
      <c r="K296" s="11">
        <f t="shared" si="11"/>
        <v>0</v>
      </c>
      <c r="L296" s="11"/>
      <c r="M296" s="11">
        <f t="shared" si="5"/>
        <v>0</v>
      </c>
      <c r="N296" s="11"/>
      <c r="O296" s="11">
        <f t="shared" si="6"/>
        <v>0</v>
      </c>
      <c r="P296" s="11" t="str">
        <f t="shared" si="7"/>
        <v>Punkte M 7-9</v>
      </c>
      <c r="Q296" s="11" t="str">
        <f t="shared" si="8"/>
        <v>Noten-Matrix-Jungen</v>
      </c>
      <c r="R296" s="13">
        <f t="shared" si="9"/>
        <v>0</v>
      </c>
      <c r="S296" s="11" t="str">
        <f>IF(R296=0, "Keine Teilnahme", IFERROR(IF(R296&gt;=VLOOKUP(G296&amp;LOWER(E296), Formeln!$H$2:$K$30, 4, FALSE), "Ehrenurkunde", IF(R296&gt;=VLOOKUP(G296&amp;LOWER(E296), Formeln!$H$2:$K$30, 3, FALSE), "Siegerurkunde", "Teilnehmerurkunde")), "Keine Urkunde"))</f>
        <v>Keine Teilnahme</v>
      </c>
      <c r="T296" s="14" t="str">
        <f t="shared" si="10"/>
        <v>Keine Teilnahme</v>
      </c>
    </row>
    <row r="297" ht="19.5" hidden="1" customHeight="1">
      <c r="A297" s="15" t="str">
        <f>IF(ASV_Daten!A299="","",ASV_Daten!A299)</f>
        <v>R8B</v>
      </c>
      <c r="B297" s="15" t="str">
        <f>IF(ASV_Daten!B299="","",ASV_Daten!B299)</f>
        <v>Waitkuwait</v>
      </c>
      <c r="C297" s="15" t="str">
        <f>IF(ASV_Daten!C299="","",ASV_Daten!C299)</f>
        <v>Lilja</v>
      </c>
      <c r="D297" s="15">
        <f>IF(ASV_Daten!D299="","",ASV_Daten!D299)</f>
        <v>2012</v>
      </c>
      <c r="E297" s="15" t="str">
        <f>IF(ASV_Daten!E299="","",ASV_Daten!E299)</f>
        <v>W</v>
      </c>
      <c r="F297" s="16" t="str">
        <f t="shared" si="1"/>
        <v>8</v>
      </c>
      <c r="G297" s="17">
        <f t="shared" si="2"/>
        <v>14</v>
      </c>
      <c r="H297" s="19"/>
      <c r="I297" s="19">
        <f t="shared" si="3"/>
        <v>0</v>
      </c>
      <c r="J297" s="19"/>
      <c r="K297" s="19">
        <f t="shared" si="11"/>
        <v>0</v>
      </c>
      <c r="L297" s="20">
        <v>4.93</v>
      </c>
      <c r="M297" s="19">
        <f t="shared" si="5"/>
        <v>541</v>
      </c>
      <c r="N297" s="20">
        <v>38.0</v>
      </c>
      <c r="O297" s="19">
        <f t="shared" si="6"/>
        <v>457</v>
      </c>
      <c r="P297" s="19" t="str">
        <f t="shared" si="7"/>
        <v>Punkte W 7-9</v>
      </c>
      <c r="Q297" s="19" t="str">
        <f t="shared" si="8"/>
        <v>Noten-Matrix-Mädchen</v>
      </c>
      <c r="R297" s="21">
        <f t="shared" si="9"/>
        <v>998</v>
      </c>
      <c r="S297" s="19" t="str">
        <f>IF(R297=0, "Keine Teilnahme", IFERROR(IF(R297&gt;=VLOOKUP(G297&amp;LOWER(E297), Formeln!$H$2:$K$30, 4, FALSE), "Ehrenurkunde", IF(R297&gt;=VLOOKUP(G297&amp;LOWER(E297), Formeln!$H$2:$K$30, 3, FALSE), "Siegerurkunde", "Teilnehmerurkunde")), "Keine Urkunde"))</f>
        <v>Siegerurkunde</v>
      </c>
      <c r="T297" s="22">
        <f t="shared" si="10"/>
        <v>1.8</v>
      </c>
    </row>
    <row r="298" ht="19.5" hidden="1" customHeight="1">
      <c r="A298" s="7" t="str">
        <f>IF(ASV_Daten!A303="","",ASV_Daten!A303)</f>
        <v>R8B</v>
      </c>
      <c r="B298" s="7" t="str">
        <f>IF(ASV_Daten!B303="","",ASV_Daten!B303)</f>
        <v>Willmann</v>
      </c>
      <c r="C298" s="7" t="str">
        <f>IF(ASV_Daten!C303="","",ASV_Daten!C303)</f>
        <v>Lisann</v>
      </c>
      <c r="D298" s="7">
        <f>IF(ASV_Daten!D303="","",ASV_Daten!D303)</f>
        <v>2011</v>
      </c>
      <c r="E298" s="7" t="str">
        <f>IF(ASV_Daten!E303="","",ASV_Daten!E303)</f>
        <v>W</v>
      </c>
      <c r="F298" s="8" t="str">
        <f t="shared" si="1"/>
        <v>8</v>
      </c>
      <c r="G298" s="9">
        <f t="shared" si="2"/>
        <v>15</v>
      </c>
      <c r="H298" s="11"/>
      <c r="I298" s="11">
        <f t="shared" si="3"/>
        <v>0</v>
      </c>
      <c r="J298" s="12">
        <v>12.9</v>
      </c>
      <c r="K298" s="11">
        <f t="shared" si="11"/>
        <v>259</v>
      </c>
      <c r="L298" s="12">
        <v>2.93</v>
      </c>
      <c r="M298" s="11">
        <f t="shared" si="5"/>
        <v>297</v>
      </c>
      <c r="N298" s="12">
        <v>16.0</v>
      </c>
      <c r="O298" s="11">
        <f t="shared" si="6"/>
        <v>248</v>
      </c>
      <c r="P298" s="11" t="str">
        <f t="shared" si="7"/>
        <v>Punkte W 7-9</v>
      </c>
      <c r="Q298" s="11" t="str">
        <f t="shared" si="8"/>
        <v>Noten-Matrix-Mädchen</v>
      </c>
      <c r="R298" s="13">
        <f t="shared" si="9"/>
        <v>804</v>
      </c>
      <c r="S298" s="11" t="str">
        <f>IF(R298=0, "Keine Teilnahme", IFERROR(IF(R298&gt;=VLOOKUP(G298&amp;LOWER(E298), Formeln!$H$2:$K$30, 4, FALSE), "Ehrenurkunde", IF(R298&gt;=VLOOKUP(G298&amp;LOWER(E298), Formeln!$H$2:$K$30, 3, FALSE), "Siegerurkunde", "Teilnehmerurkunde")), "Keine Urkunde"))</f>
        <v>Teilnehmerurkunde</v>
      </c>
      <c r="T298" s="14">
        <f t="shared" si="10"/>
        <v>3.2</v>
      </c>
    </row>
    <row r="299" ht="19.5" hidden="1" customHeight="1">
      <c r="A299" s="15" t="str">
        <f>IF(ASV_Daten!A286="","",ASV_Daten!A286)</f>
        <v>R8B</v>
      </c>
      <c r="B299" s="15" t="str">
        <f>IF(ASV_Daten!B286="","",ASV_Daten!B286)</f>
        <v>Gross</v>
      </c>
      <c r="C299" s="15" t="str">
        <f>IF(ASV_Daten!C286="","",ASV_Daten!C286)</f>
        <v>Luca Manuel</v>
      </c>
      <c r="D299" s="15">
        <f>IF(ASV_Daten!D286="","",ASV_Daten!D286)</f>
        <v>2012</v>
      </c>
      <c r="E299" s="15" t="str">
        <f>IF(ASV_Daten!E286="","",ASV_Daten!E286)</f>
        <v>M</v>
      </c>
      <c r="F299" s="16" t="str">
        <f t="shared" si="1"/>
        <v>8</v>
      </c>
      <c r="G299" s="17">
        <f t="shared" si="2"/>
        <v>14</v>
      </c>
      <c r="H299" s="19"/>
      <c r="I299" s="19">
        <f t="shared" si="3"/>
        <v>0</v>
      </c>
      <c r="J299" s="20">
        <v>13.0</v>
      </c>
      <c r="K299" s="19">
        <f t="shared" si="11"/>
        <v>235</v>
      </c>
      <c r="L299" s="20">
        <v>3.69</v>
      </c>
      <c r="M299" s="19">
        <f t="shared" si="5"/>
        <v>351</v>
      </c>
      <c r="N299" s="20">
        <v>30.0</v>
      </c>
      <c r="O299" s="19">
        <f t="shared" si="6"/>
        <v>285</v>
      </c>
      <c r="P299" s="19" t="str">
        <f t="shared" si="7"/>
        <v>Punkte M 7-9</v>
      </c>
      <c r="Q299" s="19" t="str">
        <f t="shared" si="8"/>
        <v>Noten-Matrix-Jungen</v>
      </c>
      <c r="R299" s="21">
        <f t="shared" si="9"/>
        <v>871</v>
      </c>
      <c r="S299" s="19" t="str">
        <f>IF(R299=0, "Keine Teilnahme", IFERROR(IF(R299&gt;=VLOOKUP(G299&amp;LOWER(E299), Formeln!$H$2:$K$30, 4, FALSE), "Ehrenurkunde", IF(R299&gt;=VLOOKUP(G299&amp;LOWER(E299), Formeln!$H$2:$K$30, 3, FALSE), "Siegerurkunde", "Teilnehmerurkunde")), "Keine Urkunde"))</f>
        <v>Teilnehmerurkunde</v>
      </c>
      <c r="T299" s="22">
        <f t="shared" si="10"/>
        <v>2.9</v>
      </c>
    </row>
    <row r="300" ht="19.5" hidden="1" customHeight="1">
      <c r="A300" s="7" t="str">
        <f>IF(ASV_Daten!A296="","",ASV_Daten!A296)</f>
        <v>R8B</v>
      </c>
      <c r="B300" s="7" t="str">
        <f>IF(ASV_Daten!B296="","",ASV_Daten!B296)</f>
        <v>Stiebjahn</v>
      </c>
      <c r="C300" s="7" t="str">
        <f>IF(ASV_Daten!C296="","",ASV_Daten!C296)</f>
        <v>Lukas</v>
      </c>
      <c r="D300" s="7">
        <f>IF(ASV_Daten!D296="","",ASV_Daten!D296)</f>
        <v>2012</v>
      </c>
      <c r="E300" s="7" t="str">
        <f>IF(ASV_Daten!E296="","",ASV_Daten!E296)</f>
        <v>M</v>
      </c>
      <c r="F300" s="8" t="str">
        <f t="shared" si="1"/>
        <v>8</v>
      </c>
      <c r="G300" s="9">
        <f t="shared" si="2"/>
        <v>14</v>
      </c>
      <c r="H300" s="11"/>
      <c r="I300" s="11">
        <f t="shared" si="3"/>
        <v>0</v>
      </c>
      <c r="J300" s="12">
        <v>12.3</v>
      </c>
      <c r="K300" s="11">
        <f t="shared" si="11"/>
        <v>283</v>
      </c>
      <c r="L300" s="12">
        <v>3.53</v>
      </c>
      <c r="M300" s="11">
        <f t="shared" si="5"/>
        <v>332</v>
      </c>
      <c r="N300" s="12">
        <v>31.0</v>
      </c>
      <c r="O300" s="11">
        <f t="shared" si="6"/>
        <v>292</v>
      </c>
      <c r="P300" s="11" t="str">
        <f t="shared" si="7"/>
        <v>Punkte M 7-9</v>
      </c>
      <c r="Q300" s="11" t="str">
        <f t="shared" si="8"/>
        <v>Noten-Matrix-Jungen</v>
      </c>
      <c r="R300" s="13">
        <f t="shared" si="9"/>
        <v>907</v>
      </c>
      <c r="S300" s="11" t="str">
        <f>IF(R300=0, "Keine Teilnahme", IFERROR(IF(R300&gt;=VLOOKUP(G300&amp;LOWER(E300), Formeln!$H$2:$K$30, 4, FALSE), "Ehrenurkunde", IF(R300&gt;=VLOOKUP(G300&amp;LOWER(E300), Formeln!$H$2:$K$30, 3, FALSE), "Siegerurkunde", "Teilnehmerurkunde")), "Keine Urkunde"))</f>
        <v>Siegerurkunde</v>
      </c>
      <c r="T300" s="14">
        <f t="shared" si="10"/>
        <v>2.7</v>
      </c>
    </row>
    <row r="301" ht="19.5" hidden="1" customHeight="1">
      <c r="A301" s="15" t="str">
        <f>IF(ASV_Daten!A290="","",ASV_Daten!A290)</f>
        <v>R8B</v>
      </c>
      <c r="B301" s="15" t="str">
        <f>IF(ASV_Daten!B290="","",ASV_Daten!B290)</f>
        <v>Kaltenbach</v>
      </c>
      <c r="C301" s="15" t="str">
        <f>IF(ASV_Daten!C290="","",ASV_Daten!C290)</f>
        <v>Martha</v>
      </c>
      <c r="D301" s="15">
        <f>IF(ASV_Daten!D290="","",ASV_Daten!D290)</f>
        <v>2012</v>
      </c>
      <c r="E301" s="15" t="str">
        <f>IF(ASV_Daten!E290="","",ASV_Daten!E290)</f>
        <v>W</v>
      </c>
      <c r="F301" s="16" t="str">
        <f t="shared" si="1"/>
        <v>8</v>
      </c>
      <c r="G301" s="17">
        <f t="shared" si="2"/>
        <v>14</v>
      </c>
      <c r="H301" s="18">
        <v>0.12013888888888889</v>
      </c>
      <c r="I301" s="19">
        <f t="shared" si="3"/>
        <v>402</v>
      </c>
      <c r="J301" s="19"/>
      <c r="K301" s="19">
        <f t="shared" si="11"/>
        <v>0</v>
      </c>
      <c r="L301" s="20">
        <v>3.65</v>
      </c>
      <c r="M301" s="19">
        <f t="shared" si="5"/>
        <v>392</v>
      </c>
      <c r="N301" s="20">
        <v>33.0</v>
      </c>
      <c r="O301" s="19">
        <f t="shared" si="6"/>
        <v>416</v>
      </c>
      <c r="P301" s="19" t="str">
        <f t="shared" si="7"/>
        <v>Punkte W 7-9</v>
      </c>
      <c r="Q301" s="19" t="str">
        <f t="shared" si="8"/>
        <v>Noten-Matrix-Mädchen</v>
      </c>
      <c r="R301" s="21">
        <f t="shared" si="9"/>
        <v>1210</v>
      </c>
      <c r="S301" s="19" t="str">
        <f>IF(R301=0, "Keine Teilnahme", IFERROR(IF(R301&gt;=VLOOKUP(G301&amp;LOWER(E301), Formeln!$H$2:$K$30, 4, FALSE), "Ehrenurkunde", IF(R301&gt;=VLOOKUP(G301&amp;LOWER(E301), Formeln!$H$2:$K$30, 3, FALSE), "Siegerurkunde", "Teilnehmerurkunde")), "Keine Urkunde"))</f>
        <v>Ehrenurkunde</v>
      </c>
      <c r="T301" s="22">
        <f t="shared" si="10"/>
        <v>1</v>
      </c>
    </row>
    <row r="302" ht="19.5" hidden="1" customHeight="1">
      <c r="A302" s="7" t="str">
        <f>IF(ASV_Daten!A301="","",ASV_Daten!A301)</f>
        <v>R8B</v>
      </c>
      <c r="B302" s="7" t="str">
        <f>IF(ASV_Daten!B301="","",ASV_Daten!B301)</f>
        <v>Wehrle</v>
      </c>
      <c r="C302" s="7" t="str">
        <f>IF(ASV_Daten!C301="","",ASV_Daten!C301)</f>
        <v>Selina</v>
      </c>
      <c r="D302" s="7">
        <f>IF(ASV_Daten!D301="","",ASV_Daten!D301)</f>
        <v>2012</v>
      </c>
      <c r="E302" s="7" t="str">
        <f>IF(ASV_Daten!E301="","",ASV_Daten!E301)</f>
        <v>W</v>
      </c>
      <c r="F302" s="8" t="str">
        <f t="shared" si="1"/>
        <v>8</v>
      </c>
      <c r="G302" s="9">
        <f t="shared" si="2"/>
        <v>14</v>
      </c>
      <c r="H302" s="10">
        <v>0.13194444444444445</v>
      </c>
      <c r="I302" s="11">
        <f t="shared" si="3"/>
        <v>338</v>
      </c>
      <c r="J302" s="11"/>
      <c r="K302" s="11">
        <f t="shared" si="11"/>
        <v>0</v>
      </c>
      <c r="L302" s="11"/>
      <c r="M302" s="11">
        <f t="shared" si="5"/>
        <v>0</v>
      </c>
      <c r="N302" s="11"/>
      <c r="O302" s="11">
        <f t="shared" si="6"/>
        <v>0</v>
      </c>
      <c r="P302" s="11" t="str">
        <f t="shared" si="7"/>
        <v>Punkte W 7-9</v>
      </c>
      <c r="Q302" s="11" t="str">
        <f t="shared" si="8"/>
        <v>Noten-Matrix-Mädchen</v>
      </c>
      <c r="R302" s="13">
        <f t="shared" si="9"/>
        <v>338</v>
      </c>
      <c r="S302" s="11" t="str">
        <f>IF(R302=0, "Keine Teilnahme", IFERROR(IF(R302&gt;=VLOOKUP(G302&amp;LOWER(E302), Formeln!$H$2:$K$30, 4, FALSE), "Ehrenurkunde", IF(R302&gt;=VLOOKUP(G302&amp;LOWER(E302), Formeln!$H$2:$K$30, 3, FALSE), "Siegerurkunde", "Teilnehmerurkunde")), "Keine Urkunde"))</f>
        <v>Teilnehmerurkunde</v>
      </c>
      <c r="T302" s="14" t="str">
        <f t="shared" si="10"/>
        <v>NOTE</v>
      </c>
    </row>
    <row r="303" ht="19.5" hidden="1" customHeight="1">
      <c r="A303" s="15" t="str">
        <f>IF(ASV_Daten!A291="","",ASV_Daten!A291)</f>
        <v>R8B</v>
      </c>
      <c r="B303" s="15" t="str">
        <f>IF(ASV_Daten!B291="","",ASV_Daten!B291)</f>
        <v>Metzger</v>
      </c>
      <c r="C303" s="15" t="str">
        <f>IF(ASV_Daten!C291="","",ASV_Daten!C291)</f>
        <v>Sienna</v>
      </c>
      <c r="D303" s="15">
        <f>IF(ASV_Daten!D291="","",ASV_Daten!D291)</f>
        <v>2012</v>
      </c>
      <c r="E303" s="15" t="str">
        <f>IF(ASV_Daten!E291="","",ASV_Daten!E291)</f>
        <v>W</v>
      </c>
      <c r="F303" s="16" t="str">
        <f t="shared" si="1"/>
        <v>8</v>
      </c>
      <c r="G303" s="17">
        <f t="shared" si="2"/>
        <v>14</v>
      </c>
      <c r="H303" s="25"/>
      <c r="I303" s="19">
        <f t="shared" si="3"/>
        <v>0</v>
      </c>
      <c r="J303" s="19"/>
      <c r="K303" s="19">
        <f t="shared" si="11"/>
        <v>0</v>
      </c>
      <c r="L303" s="19"/>
      <c r="M303" s="19">
        <f t="shared" si="5"/>
        <v>0</v>
      </c>
      <c r="N303" s="19"/>
      <c r="O303" s="19">
        <f t="shared" si="6"/>
        <v>0</v>
      </c>
      <c r="P303" s="19" t="str">
        <f t="shared" si="7"/>
        <v>Punkte W 7-9</v>
      </c>
      <c r="Q303" s="19" t="str">
        <f t="shared" si="8"/>
        <v>Noten-Matrix-Mädchen</v>
      </c>
      <c r="R303" s="21">
        <f t="shared" si="9"/>
        <v>0</v>
      </c>
      <c r="S303" s="19" t="str">
        <f>IF(R303=0, "Keine Teilnahme", IFERROR(IF(R303&gt;=VLOOKUP(G303&amp;LOWER(E303), Formeln!$H$2:$K$30, 4, FALSE), "Ehrenurkunde", IF(R303&gt;=VLOOKUP(G303&amp;LOWER(E303), Formeln!$H$2:$K$30, 3, FALSE), "Siegerurkunde", "Teilnehmerurkunde")), "Keine Urkunde"))</f>
        <v>Keine Teilnahme</v>
      </c>
      <c r="T303" s="22" t="str">
        <f t="shared" si="10"/>
        <v>Keine Teilnahme</v>
      </c>
    </row>
    <row r="304" ht="19.5" hidden="1" customHeight="1">
      <c r="A304" s="7" t="str">
        <f>IF(ASV_Daten!A298="","",ASV_Daten!A298)</f>
        <v>R8B</v>
      </c>
      <c r="B304" s="7" t="str">
        <f>IF(ASV_Daten!B298="","",ASV_Daten!B298)</f>
        <v>von Nordheim</v>
      </c>
      <c r="C304" s="7" t="str">
        <f>IF(ASV_Daten!C298="","",ASV_Daten!C298)</f>
        <v>Sonik</v>
      </c>
      <c r="D304" s="7">
        <f>IF(ASV_Daten!D298="","",ASV_Daten!D298)</f>
        <v>2012</v>
      </c>
      <c r="E304" s="7" t="str">
        <f>IF(ASV_Daten!E298="","",ASV_Daten!E298)</f>
        <v>M</v>
      </c>
      <c r="F304" s="8" t="str">
        <f t="shared" si="1"/>
        <v>8</v>
      </c>
      <c r="G304" s="9">
        <f t="shared" si="2"/>
        <v>14</v>
      </c>
      <c r="H304" s="10">
        <v>0.16180555555555556</v>
      </c>
      <c r="I304" s="11">
        <f t="shared" si="3"/>
        <v>352</v>
      </c>
      <c r="J304" s="11"/>
      <c r="K304" s="11">
        <f t="shared" si="11"/>
        <v>0</v>
      </c>
      <c r="L304" s="12">
        <v>4.09</v>
      </c>
      <c r="M304" s="11">
        <f t="shared" si="5"/>
        <v>398</v>
      </c>
      <c r="N304" s="12">
        <v>34.0</v>
      </c>
      <c r="O304" s="11">
        <f t="shared" si="6"/>
        <v>314</v>
      </c>
      <c r="P304" s="11" t="str">
        <f t="shared" si="7"/>
        <v>Punkte M 7-9</v>
      </c>
      <c r="Q304" s="11" t="str">
        <f t="shared" si="8"/>
        <v>Noten-Matrix-Jungen</v>
      </c>
      <c r="R304" s="13">
        <f t="shared" si="9"/>
        <v>1064</v>
      </c>
      <c r="S304" s="11" t="str">
        <f>IF(R304=0, "Keine Teilnahme", IFERROR(IF(R304&gt;=VLOOKUP(G304&amp;LOWER(E304), Formeln!$H$2:$K$30, 4, FALSE), "Ehrenurkunde", IF(R304&gt;=VLOOKUP(G304&amp;LOWER(E304), Formeln!$H$2:$K$30, 3, FALSE), "Siegerurkunde", "Teilnehmerurkunde")), "Keine Urkunde"))</f>
        <v>Siegerurkunde</v>
      </c>
      <c r="T304" s="14">
        <f t="shared" si="10"/>
        <v>1.9</v>
      </c>
    </row>
    <row r="305" ht="19.5" hidden="1" customHeight="1">
      <c r="A305" s="15" t="str">
        <f>IF(ASV_Daten!A305="","",ASV_Daten!A305)</f>
        <v>R8C</v>
      </c>
      <c r="B305" s="15" t="str">
        <f>IF(ASV_Daten!B305="","",ASV_Daten!B305)</f>
        <v>Blume</v>
      </c>
      <c r="C305" s="15" t="str">
        <f>IF(ASV_Daten!C305="","",ASV_Daten!C305)</f>
        <v>Amy Milena</v>
      </c>
      <c r="D305" s="15">
        <f>IF(ASV_Daten!D305="","",ASV_Daten!D305)</f>
        <v>2012</v>
      </c>
      <c r="E305" s="15" t="str">
        <f>IF(ASV_Daten!E305="","",ASV_Daten!E305)</f>
        <v>W</v>
      </c>
      <c r="F305" s="16" t="str">
        <f t="shared" si="1"/>
        <v>8</v>
      </c>
      <c r="G305" s="17">
        <f t="shared" si="2"/>
        <v>14</v>
      </c>
      <c r="H305" s="19"/>
      <c r="I305" s="19">
        <f t="shared" si="3"/>
        <v>0</v>
      </c>
      <c r="J305" s="19"/>
      <c r="K305" s="19">
        <f t="shared" si="11"/>
        <v>0</v>
      </c>
      <c r="L305" s="19"/>
      <c r="M305" s="19">
        <f t="shared" si="5"/>
        <v>0</v>
      </c>
      <c r="N305" s="19"/>
      <c r="O305" s="19">
        <f t="shared" si="6"/>
        <v>0</v>
      </c>
      <c r="P305" s="19" t="str">
        <f t="shared" si="7"/>
        <v>Punkte W 7-9</v>
      </c>
      <c r="Q305" s="19" t="str">
        <f t="shared" si="8"/>
        <v>Noten-Matrix-Mädchen</v>
      </c>
      <c r="R305" s="21">
        <f t="shared" si="9"/>
        <v>0</v>
      </c>
      <c r="S305" s="19" t="str">
        <f>IF(R305=0, "Keine Teilnahme", IFERROR(IF(R305&gt;=VLOOKUP(G305&amp;LOWER(E305), Formeln!$H$2:$K$30, 4, FALSE), "Ehrenurkunde", IF(R305&gt;=VLOOKUP(G305&amp;LOWER(E305), Formeln!$H$2:$K$30, 3, FALSE), "Siegerurkunde", "Teilnehmerurkunde")), "Keine Urkunde"))</f>
        <v>Keine Teilnahme</v>
      </c>
      <c r="T305" s="22" t="str">
        <f t="shared" si="10"/>
        <v>Keine Teilnahme</v>
      </c>
    </row>
    <row r="306" ht="19.5" hidden="1" customHeight="1">
      <c r="A306" s="7" t="str">
        <f>IF(ASV_Daten!A325="","",ASV_Daten!A325)</f>
        <v>R8C</v>
      </c>
      <c r="B306" s="7" t="str">
        <f>IF(ASV_Daten!B325="","",ASV_Daten!B325)</f>
        <v>Wohllaib</v>
      </c>
      <c r="C306" s="7" t="str">
        <f>IF(ASV_Daten!C325="","",ASV_Daten!C325)</f>
        <v>Anessa</v>
      </c>
      <c r="D306" s="7">
        <f>IF(ASV_Daten!D325="","",ASV_Daten!D325)</f>
        <v>2012</v>
      </c>
      <c r="E306" s="7" t="str">
        <f>IF(ASV_Daten!E325="","",ASV_Daten!E325)</f>
        <v>W</v>
      </c>
      <c r="F306" s="8" t="str">
        <f t="shared" si="1"/>
        <v>8</v>
      </c>
      <c r="G306" s="9">
        <f t="shared" si="2"/>
        <v>14</v>
      </c>
      <c r="H306" s="11"/>
      <c r="I306" s="11">
        <f t="shared" si="3"/>
        <v>0</v>
      </c>
      <c r="J306" s="12">
        <v>13.4</v>
      </c>
      <c r="K306" s="11">
        <f t="shared" si="11"/>
        <v>227</v>
      </c>
      <c r="L306" s="12">
        <v>3.53</v>
      </c>
      <c r="M306" s="11">
        <f t="shared" si="5"/>
        <v>377</v>
      </c>
      <c r="N306" s="12">
        <v>15.5</v>
      </c>
      <c r="O306" s="11">
        <f t="shared" si="6"/>
        <v>242</v>
      </c>
      <c r="P306" s="11" t="str">
        <f t="shared" si="7"/>
        <v>Punkte W 7-9</v>
      </c>
      <c r="Q306" s="11" t="str">
        <f t="shared" si="8"/>
        <v>Noten-Matrix-Mädchen</v>
      </c>
      <c r="R306" s="13">
        <f t="shared" si="9"/>
        <v>846</v>
      </c>
      <c r="S306" s="11" t="str">
        <f>IF(R306=0, "Keine Teilnahme", IFERROR(IF(R306&gt;=VLOOKUP(G306&amp;LOWER(E306), Formeln!$H$2:$K$30, 4, FALSE), "Ehrenurkunde", IF(R306&gt;=VLOOKUP(G306&amp;LOWER(E306), Formeln!$H$2:$K$30, 3, FALSE), "Siegerurkunde", "Teilnehmerurkunde")), "Keine Urkunde"))</f>
        <v>Teilnehmerurkunde</v>
      </c>
      <c r="T306" s="14">
        <f t="shared" si="10"/>
        <v>2.8</v>
      </c>
    </row>
    <row r="307" ht="19.5" hidden="1" customHeight="1">
      <c r="A307" s="15" t="str">
        <f>IF(ASV_Daten!A324="","",ASV_Daten!A324)</f>
        <v>R8C</v>
      </c>
      <c r="B307" s="15" t="str">
        <f>IF(ASV_Daten!B324="","",ASV_Daten!B324)</f>
        <v>Willmann</v>
      </c>
      <c r="C307" s="15" t="str">
        <f>IF(ASV_Daten!C324="","",ASV_Daten!C324)</f>
        <v>Anni</v>
      </c>
      <c r="D307" s="15">
        <f>IF(ASV_Daten!D324="","",ASV_Daten!D324)</f>
        <v>2011</v>
      </c>
      <c r="E307" s="15" t="str">
        <f>IF(ASV_Daten!E324="","",ASV_Daten!E324)</f>
        <v>W</v>
      </c>
      <c r="F307" s="16" t="str">
        <f t="shared" si="1"/>
        <v>8</v>
      </c>
      <c r="G307" s="17">
        <f t="shared" si="2"/>
        <v>15</v>
      </c>
      <c r="H307" s="19"/>
      <c r="I307" s="19">
        <f t="shared" si="3"/>
        <v>0</v>
      </c>
      <c r="J307" s="20">
        <v>12.4</v>
      </c>
      <c r="K307" s="19">
        <f t="shared" si="11"/>
        <v>293</v>
      </c>
      <c r="L307" s="20">
        <v>4.09</v>
      </c>
      <c r="M307" s="19">
        <f t="shared" si="5"/>
        <v>446</v>
      </c>
      <c r="N307" s="20">
        <v>23.0</v>
      </c>
      <c r="O307" s="19">
        <f t="shared" si="6"/>
        <v>325</v>
      </c>
      <c r="P307" s="19" t="str">
        <f t="shared" si="7"/>
        <v>Punkte W 7-9</v>
      </c>
      <c r="Q307" s="19" t="str">
        <f t="shared" si="8"/>
        <v>Noten-Matrix-Mädchen</v>
      </c>
      <c r="R307" s="21">
        <f t="shared" si="9"/>
        <v>1064</v>
      </c>
      <c r="S307" s="19" t="str">
        <f>IF(R307=0, "Keine Teilnahme", IFERROR(IF(R307&gt;=VLOOKUP(G307&amp;LOWER(E307), Formeln!$H$2:$K$30, 4, FALSE), "Ehrenurkunde", IF(R307&gt;=VLOOKUP(G307&amp;LOWER(E307), Formeln!$H$2:$K$30, 3, FALSE), "Siegerurkunde", "Teilnehmerurkunde")), "Keine Urkunde"))</f>
        <v>Siegerurkunde</v>
      </c>
      <c r="T307" s="22">
        <f t="shared" si="10"/>
        <v>1.6</v>
      </c>
    </row>
    <row r="308" ht="19.5" hidden="1" customHeight="1">
      <c r="A308" s="7" t="str">
        <f>IF(ASV_Daten!A318="","",ASV_Daten!A318)</f>
        <v>R8C</v>
      </c>
      <c r="B308" s="7" t="str">
        <f>IF(ASV_Daten!B318="","",ASV_Daten!B318)</f>
        <v>Schwab</v>
      </c>
      <c r="C308" s="7" t="str">
        <f>IF(ASV_Daten!C318="","",ASV_Daten!C318)</f>
        <v>David</v>
      </c>
      <c r="D308" s="7">
        <f>IF(ASV_Daten!D318="","",ASV_Daten!D318)</f>
        <v>2011</v>
      </c>
      <c r="E308" s="7" t="str">
        <f>IF(ASV_Daten!E318="","",ASV_Daten!E318)</f>
        <v>M</v>
      </c>
      <c r="F308" s="8" t="str">
        <f t="shared" si="1"/>
        <v>8</v>
      </c>
      <c r="G308" s="9">
        <f t="shared" si="2"/>
        <v>15</v>
      </c>
      <c r="H308" s="10">
        <v>0.16111111111111112</v>
      </c>
      <c r="I308" s="11">
        <f t="shared" si="3"/>
        <v>358</v>
      </c>
      <c r="J308" s="12"/>
      <c r="K308" s="11">
        <f t="shared" si="11"/>
        <v>0</v>
      </c>
      <c r="L308" s="12">
        <v>4.33</v>
      </c>
      <c r="M308" s="11">
        <f t="shared" si="5"/>
        <v>424</v>
      </c>
      <c r="N308" s="12">
        <v>38.0</v>
      </c>
      <c r="O308" s="11">
        <f t="shared" si="6"/>
        <v>341</v>
      </c>
      <c r="P308" s="11" t="str">
        <f t="shared" si="7"/>
        <v>Punkte M 7-9</v>
      </c>
      <c r="Q308" s="11" t="str">
        <f t="shared" si="8"/>
        <v>Noten-Matrix-Jungen</v>
      </c>
      <c r="R308" s="13">
        <f t="shared" si="9"/>
        <v>1123</v>
      </c>
      <c r="S308" s="11" t="str">
        <f>IF(R308=0, "Keine Teilnahme", IFERROR(IF(R308&gt;=VLOOKUP(G308&amp;LOWER(E308), Formeln!$H$2:$K$30, 4, FALSE), "Ehrenurkunde", IF(R308&gt;=VLOOKUP(G308&amp;LOWER(E308), Formeln!$H$2:$K$30, 3, FALSE), "Siegerurkunde", "Teilnehmerurkunde")), "Keine Urkunde"))</f>
        <v>Siegerurkunde</v>
      </c>
      <c r="T308" s="14">
        <f t="shared" si="10"/>
        <v>2.1</v>
      </c>
    </row>
    <row r="309" ht="19.5" hidden="1" customHeight="1">
      <c r="A309" s="15" t="str">
        <f>IF(ASV_Daten!A322="","",ASV_Daten!A322)</f>
        <v>R8C</v>
      </c>
      <c r="B309" s="15" t="str">
        <f>IF(ASV_Daten!B322="","",ASV_Daten!B322)</f>
        <v>Tritschler</v>
      </c>
      <c r="C309" s="15" t="str">
        <f>IF(ASV_Daten!C322="","",ASV_Daten!C322)</f>
        <v>Emelie</v>
      </c>
      <c r="D309" s="15">
        <f>IF(ASV_Daten!D322="","",ASV_Daten!D322)</f>
        <v>2012</v>
      </c>
      <c r="E309" s="15" t="str">
        <f>IF(ASV_Daten!E322="","",ASV_Daten!E322)</f>
        <v>W</v>
      </c>
      <c r="F309" s="16" t="str">
        <f t="shared" si="1"/>
        <v>8</v>
      </c>
      <c r="G309" s="17">
        <f t="shared" si="2"/>
        <v>14</v>
      </c>
      <c r="H309" s="19"/>
      <c r="I309" s="19">
        <f t="shared" si="3"/>
        <v>0</v>
      </c>
      <c r="J309" s="20">
        <v>14.0</v>
      </c>
      <c r="K309" s="19">
        <f t="shared" si="11"/>
        <v>192</v>
      </c>
      <c r="L309" s="20">
        <v>2.93</v>
      </c>
      <c r="M309" s="19">
        <f t="shared" si="5"/>
        <v>297</v>
      </c>
      <c r="N309" s="20">
        <v>14.0</v>
      </c>
      <c r="O309" s="19">
        <f t="shared" si="6"/>
        <v>223</v>
      </c>
      <c r="P309" s="19" t="str">
        <f t="shared" si="7"/>
        <v>Punkte W 7-9</v>
      </c>
      <c r="Q309" s="19" t="str">
        <f t="shared" si="8"/>
        <v>Noten-Matrix-Mädchen</v>
      </c>
      <c r="R309" s="21">
        <f t="shared" si="9"/>
        <v>712</v>
      </c>
      <c r="S309" s="19" t="str">
        <f>IF(R309=0, "Keine Teilnahme", IFERROR(IF(R309&gt;=VLOOKUP(G309&amp;LOWER(E309), Formeln!$H$2:$K$30, 4, FALSE), "Ehrenurkunde", IF(R309&gt;=VLOOKUP(G309&amp;LOWER(E309), Formeln!$H$2:$K$30, 3, FALSE), "Siegerurkunde", "Teilnehmerurkunde")), "Keine Urkunde"))</f>
        <v>Teilnehmerurkunde</v>
      </c>
      <c r="T309" s="22">
        <f t="shared" si="10"/>
        <v>3.7</v>
      </c>
    </row>
    <row r="310" ht="19.5" hidden="1" customHeight="1">
      <c r="A310" s="7" t="str">
        <f>IF(ASV_Daten!A314="","",ASV_Daten!A314)</f>
        <v>R8C</v>
      </c>
      <c r="B310" s="7" t="str">
        <f>IF(ASV_Daten!B314="","",ASV_Daten!B314)</f>
        <v>Palmieri</v>
      </c>
      <c r="C310" s="7" t="str">
        <f>IF(ASV_Daten!C314="","",ASV_Daten!C314)</f>
        <v>Giuseppe Andrea</v>
      </c>
      <c r="D310" s="7">
        <f>IF(ASV_Daten!D314="","",ASV_Daten!D314)</f>
        <v>2012</v>
      </c>
      <c r="E310" s="7" t="str">
        <f>IF(ASV_Daten!E314="","",ASV_Daten!E314)</f>
        <v>M</v>
      </c>
      <c r="F310" s="8" t="str">
        <f t="shared" si="1"/>
        <v>8</v>
      </c>
      <c r="G310" s="9">
        <f t="shared" si="2"/>
        <v>14</v>
      </c>
      <c r="H310" s="10">
        <v>0.18125</v>
      </c>
      <c r="I310" s="11">
        <f t="shared" si="3"/>
        <v>276</v>
      </c>
      <c r="J310" s="11"/>
      <c r="K310" s="11">
        <f t="shared" si="11"/>
        <v>0</v>
      </c>
      <c r="L310" s="12">
        <v>3.73</v>
      </c>
      <c r="M310" s="11">
        <f t="shared" si="5"/>
        <v>356</v>
      </c>
      <c r="N310" s="12">
        <v>37.0</v>
      </c>
      <c r="O310" s="11">
        <f t="shared" si="6"/>
        <v>334</v>
      </c>
      <c r="P310" s="11" t="str">
        <f t="shared" si="7"/>
        <v>Punkte M 7-9</v>
      </c>
      <c r="Q310" s="11" t="str">
        <f t="shared" si="8"/>
        <v>Noten-Matrix-Jungen</v>
      </c>
      <c r="R310" s="13">
        <f t="shared" si="9"/>
        <v>966</v>
      </c>
      <c r="S310" s="11" t="str">
        <f>IF(R310=0, "Keine Teilnahme", IFERROR(IF(R310&gt;=VLOOKUP(G310&amp;LOWER(E310), Formeln!$H$2:$K$30, 4, FALSE), "Ehrenurkunde", IF(R310&gt;=VLOOKUP(G310&amp;LOWER(E310), Formeln!$H$2:$K$30, 3, FALSE), "Siegerurkunde", "Teilnehmerurkunde")), "Keine Urkunde"))</f>
        <v>Siegerurkunde</v>
      </c>
      <c r="T310" s="14">
        <f t="shared" si="10"/>
        <v>2.4</v>
      </c>
    </row>
    <row r="311" ht="19.5" hidden="1" customHeight="1">
      <c r="A311" s="15" t="str">
        <f>IF(ASV_Daten!A316="","",ASV_Daten!A316)</f>
        <v>R8C</v>
      </c>
      <c r="B311" s="15" t="str">
        <f>IF(ASV_Daten!B316="","",ASV_Daten!B316)</f>
        <v>Schmidt</v>
      </c>
      <c r="C311" s="15" t="str">
        <f>IF(ASV_Daten!C316="","",ASV_Daten!C316)</f>
        <v>Johann Michael</v>
      </c>
      <c r="D311" s="15">
        <f>IF(ASV_Daten!D316="","",ASV_Daten!D316)</f>
        <v>2012</v>
      </c>
      <c r="E311" s="15" t="str">
        <f>IF(ASV_Daten!E316="","",ASV_Daten!E316)</f>
        <v>M</v>
      </c>
      <c r="F311" s="16" t="str">
        <f t="shared" si="1"/>
        <v>8</v>
      </c>
      <c r="G311" s="17">
        <f t="shared" si="2"/>
        <v>14</v>
      </c>
      <c r="H311" s="25"/>
      <c r="I311" s="19">
        <f t="shared" si="3"/>
        <v>0</v>
      </c>
      <c r="J311" s="20">
        <v>15.1</v>
      </c>
      <c r="K311" s="19">
        <f t="shared" si="11"/>
        <v>118</v>
      </c>
      <c r="L311" s="20">
        <v>3.13</v>
      </c>
      <c r="M311" s="19">
        <f t="shared" si="5"/>
        <v>282</v>
      </c>
      <c r="N311" s="20">
        <v>27.0</v>
      </c>
      <c r="O311" s="19">
        <f t="shared" si="6"/>
        <v>262</v>
      </c>
      <c r="P311" s="19" t="str">
        <f t="shared" si="7"/>
        <v>Punkte M 7-9</v>
      </c>
      <c r="Q311" s="19" t="str">
        <f t="shared" si="8"/>
        <v>Noten-Matrix-Jungen</v>
      </c>
      <c r="R311" s="21">
        <f t="shared" si="9"/>
        <v>662</v>
      </c>
      <c r="S311" s="19" t="str">
        <f>IF(R311=0, "Keine Teilnahme", IFERROR(IF(R311&gt;=VLOOKUP(G311&amp;LOWER(E311), Formeln!$H$2:$K$30, 4, FALSE), "Ehrenurkunde", IF(R311&gt;=VLOOKUP(G311&amp;LOWER(E311), Formeln!$H$2:$K$30, 3, FALSE), "Siegerurkunde", "Teilnehmerurkunde")), "Keine Urkunde"))</f>
        <v>Teilnehmerurkunde</v>
      </c>
      <c r="T311" s="22" t="str">
        <f t="shared" si="10"/>
        <v>NOTE</v>
      </c>
    </row>
    <row r="312" ht="19.5" hidden="1" customHeight="1">
      <c r="A312" s="7" t="str">
        <f>IF(ASV_Daten!A306="","",ASV_Daten!A306)</f>
        <v>R8C</v>
      </c>
      <c r="B312" s="7" t="str">
        <f>IF(ASV_Daten!B306="","",ASV_Daten!B306)</f>
        <v>Frey</v>
      </c>
      <c r="C312" s="7" t="str">
        <f>IF(ASV_Daten!C306="","",ASV_Daten!C306)</f>
        <v>Jonas</v>
      </c>
      <c r="D312" s="7">
        <f>IF(ASV_Daten!D306="","",ASV_Daten!D306)</f>
        <v>2012</v>
      </c>
      <c r="E312" s="7" t="str">
        <f>IF(ASV_Daten!E306="","",ASV_Daten!E306)</f>
        <v>M</v>
      </c>
      <c r="F312" s="8" t="str">
        <f t="shared" si="1"/>
        <v>8</v>
      </c>
      <c r="G312" s="9">
        <f t="shared" si="2"/>
        <v>14</v>
      </c>
      <c r="H312" s="11"/>
      <c r="I312" s="11">
        <f t="shared" si="3"/>
        <v>0</v>
      </c>
      <c r="J312" s="12">
        <v>13.9</v>
      </c>
      <c r="K312" s="11">
        <f t="shared" si="11"/>
        <v>181</v>
      </c>
      <c r="L312" s="12">
        <v>3.13</v>
      </c>
      <c r="M312" s="11">
        <f t="shared" si="5"/>
        <v>282</v>
      </c>
      <c r="N312" s="12">
        <v>28.5</v>
      </c>
      <c r="O312" s="11">
        <f t="shared" si="6"/>
        <v>274</v>
      </c>
      <c r="P312" s="11" t="str">
        <f t="shared" si="7"/>
        <v>Punkte M 7-9</v>
      </c>
      <c r="Q312" s="11" t="str">
        <f t="shared" si="8"/>
        <v>Noten-Matrix-Jungen</v>
      </c>
      <c r="R312" s="13">
        <f t="shared" si="9"/>
        <v>737</v>
      </c>
      <c r="S312" s="11" t="str">
        <f>IF(R312=0, "Keine Teilnahme", IFERROR(IF(R312&gt;=VLOOKUP(G312&amp;LOWER(E312), Formeln!$H$2:$K$30, 4, FALSE), "Ehrenurkunde", IF(R312&gt;=VLOOKUP(G312&amp;LOWER(E312), Formeln!$H$2:$K$30, 3, FALSE), "Siegerurkunde", "Teilnehmerurkunde")), "Keine Urkunde"))</f>
        <v>Teilnehmerurkunde</v>
      </c>
      <c r="T312" s="14">
        <f t="shared" si="10"/>
        <v>4</v>
      </c>
    </row>
    <row r="313" ht="19.5" hidden="1" customHeight="1">
      <c r="A313" s="15" t="str">
        <f>IF(ASV_Daten!A308="","",ASV_Daten!A308)</f>
        <v>R8C</v>
      </c>
      <c r="B313" s="15" t="str">
        <f>IF(ASV_Daten!B308="","",ASV_Daten!B308)</f>
        <v>Greiner-Adam</v>
      </c>
      <c r="C313" s="15" t="str">
        <f>IF(ASV_Daten!C308="","",ASV_Daten!C308)</f>
        <v>Jonas</v>
      </c>
      <c r="D313" s="15">
        <f>IF(ASV_Daten!D308="","",ASV_Daten!D308)</f>
        <v>2012</v>
      </c>
      <c r="E313" s="15" t="str">
        <f>IF(ASV_Daten!E308="","",ASV_Daten!E308)</f>
        <v>M</v>
      </c>
      <c r="F313" s="16" t="str">
        <f t="shared" si="1"/>
        <v>8</v>
      </c>
      <c r="G313" s="17">
        <f t="shared" si="2"/>
        <v>14</v>
      </c>
      <c r="H313" s="19"/>
      <c r="I313" s="19">
        <f t="shared" si="3"/>
        <v>0</v>
      </c>
      <c r="J313" s="20">
        <v>13.1</v>
      </c>
      <c r="K313" s="19">
        <f t="shared" si="11"/>
        <v>229</v>
      </c>
      <c r="L313" s="20">
        <v>4.49</v>
      </c>
      <c r="M313" s="19">
        <f t="shared" si="5"/>
        <v>442</v>
      </c>
      <c r="N313" s="20">
        <v>21.0</v>
      </c>
      <c r="O313" s="19">
        <f t="shared" si="6"/>
        <v>213</v>
      </c>
      <c r="P313" s="19" t="str">
        <f t="shared" si="7"/>
        <v>Punkte M 7-9</v>
      </c>
      <c r="Q313" s="19" t="str">
        <f t="shared" si="8"/>
        <v>Noten-Matrix-Jungen</v>
      </c>
      <c r="R313" s="21">
        <f t="shared" si="9"/>
        <v>884</v>
      </c>
      <c r="S313" s="19" t="str">
        <f>IF(R313=0, "Keine Teilnahme", IFERROR(IF(R313&gt;=VLOOKUP(G313&amp;LOWER(E313), Formeln!$H$2:$K$30, 4, FALSE), "Ehrenurkunde", IF(R313&gt;=VLOOKUP(G313&amp;LOWER(E313), Formeln!$H$2:$K$30, 3, FALSE), "Siegerurkunde", "Teilnehmerurkunde")), "Keine Urkunde"))</f>
        <v>Teilnehmerurkunde</v>
      </c>
      <c r="T313" s="22">
        <f t="shared" si="10"/>
        <v>2.9</v>
      </c>
    </row>
    <row r="314" ht="19.5" hidden="1" customHeight="1">
      <c r="A314" s="7" t="str">
        <f>IF(ASV_Daten!A311="","",ASV_Daten!A311)</f>
        <v>R8C</v>
      </c>
      <c r="B314" s="7" t="str">
        <f>IF(ASV_Daten!B311="","",ASV_Daten!B311)</f>
        <v>Kovalenko</v>
      </c>
      <c r="C314" s="7" t="str">
        <f>IF(ASV_Daten!C311="","",ASV_Daten!C311)</f>
        <v>Konstantin</v>
      </c>
      <c r="D314" s="7">
        <f>IF(ASV_Daten!D311="","",ASV_Daten!D311)</f>
        <v>2012</v>
      </c>
      <c r="E314" s="7" t="str">
        <f>IF(ASV_Daten!E311="","",ASV_Daten!E311)</f>
        <v>M</v>
      </c>
      <c r="F314" s="8" t="str">
        <f t="shared" si="1"/>
        <v>8</v>
      </c>
      <c r="G314" s="9">
        <f t="shared" si="2"/>
        <v>14</v>
      </c>
      <c r="H314" s="11"/>
      <c r="I314" s="11">
        <f t="shared" si="3"/>
        <v>0</v>
      </c>
      <c r="J314" s="11"/>
      <c r="K314" s="11">
        <f t="shared" si="11"/>
        <v>0</v>
      </c>
      <c r="L314" s="12">
        <v>4.01</v>
      </c>
      <c r="M314" s="11">
        <f t="shared" si="5"/>
        <v>389</v>
      </c>
      <c r="N314" s="12">
        <v>17.5</v>
      </c>
      <c r="O314" s="11">
        <f t="shared" si="6"/>
        <v>181</v>
      </c>
      <c r="P314" s="11" t="str">
        <f t="shared" si="7"/>
        <v>Punkte M 7-9</v>
      </c>
      <c r="Q314" s="11" t="str">
        <f t="shared" si="8"/>
        <v>Noten-Matrix-Jungen</v>
      </c>
      <c r="R314" s="13">
        <f t="shared" si="9"/>
        <v>570</v>
      </c>
      <c r="S314" s="11" t="str">
        <f>IF(R314=0, "Keine Teilnahme", IFERROR(IF(R314&gt;=VLOOKUP(G314&amp;LOWER(E314), Formeln!$H$2:$K$30, 4, FALSE), "Ehrenurkunde", IF(R314&gt;=VLOOKUP(G314&amp;LOWER(E314), Formeln!$H$2:$K$30, 3, FALSE), "Siegerurkunde", "Teilnehmerurkunde")), "Keine Urkunde"))</f>
        <v>Teilnehmerurkunde</v>
      </c>
      <c r="T314" s="14" t="str">
        <f t="shared" si="10"/>
        <v>NOTE</v>
      </c>
    </row>
    <row r="315" ht="19.5" hidden="1" customHeight="1">
      <c r="A315" s="15" t="str">
        <f>IF(ASV_Daten!A319="","",ASV_Daten!A319)</f>
        <v>R8C</v>
      </c>
      <c r="B315" s="15" t="str">
        <f>IF(ASV_Daten!B319="","",ASV_Daten!B319)</f>
        <v>Spitz</v>
      </c>
      <c r="C315" s="15" t="str">
        <f>IF(ASV_Daten!C319="","",ASV_Daten!C319)</f>
        <v>Louis</v>
      </c>
      <c r="D315" s="15">
        <f>IF(ASV_Daten!D319="","",ASV_Daten!D319)</f>
        <v>2012</v>
      </c>
      <c r="E315" s="15" t="str">
        <f>IF(ASV_Daten!E319="","",ASV_Daten!E319)</f>
        <v>M</v>
      </c>
      <c r="F315" s="16" t="str">
        <f t="shared" si="1"/>
        <v>8</v>
      </c>
      <c r="G315" s="17">
        <f t="shared" si="2"/>
        <v>14</v>
      </c>
      <c r="H315" s="19"/>
      <c r="I315" s="19">
        <f t="shared" si="3"/>
        <v>0</v>
      </c>
      <c r="J315" s="20">
        <v>10.8</v>
      </c>
      <c r="K315" s="19">
        <f t="shared" si="11"/>
        <v>405</v>
      </c>
      <c r="L315" s="20">
        <v>3.97</v>
      </c>
      <c r="M315" s="19">
        <f t="shared" si="5"/>
        <v>384</v>
      </c>
      <c r="N315" s="20">
        <v>36.0</v>
      </c>
      <c r="O315" s="19">
        <f t="shared" si="6"/>
        <v>327</v>
      </c>
      <c r="P315" s="19" t="str">
        <f t="shared" si="7"/>
        <v>Punkte M 7-9</v>
      </c>
      <c r="Q315" s="19" t="str">
        <f t="shared" si="8"/>
        <v>Noten-Matrix-Jungen</v>
      </c>
      <c r="R315" s="21">
        <f t="shared" si="9"/>
        <v>1116</v>
      </c>
      <c r="S315" s="19" t="str">
        <f>IF(R315=0, "Keine Teilnahme", IFERROR(IF(R315&gt;=VLOOKUP(G315&amp;LOWER(E315), Formeln!$H$2:$K$30, 4, FALSE), "Ehrenurkunde", IF(R315&gt;=VLOOKUP(G315&amp;LOWER(E315), Formeln!$H$2:$K$30, 3, FALSE), "Siegerurkunde", "Teilnehmerurkunde")), "Keine Urkunde"))</f>
        <v>Siegerurkunde</v>
      </c>
      <c r="T315" s="22">
        <f t="shared" si="10"/>
        <v>1.6</v>
      </c>
    </row>
    <row r="316" ht="19.5" hidden="1" customHeight="1">
      <c r="A316" s="7" t="str">
        <f>IF(ASV_Daten!A317="","",ASV_Daten!A317)</f>
        <v>R8C</v>
      </c>
      <c r="B316" s="7" t="str">
        <f>IF(ASV_Daten!B317="","",ASV_Daten!B317)</f>
        <v>Schmidt</v>
      </c>
      <c r="C316" s="7" t="str">
        <f>IF(ASV_Daten!C317="","",ASV_Daten!C317)</f>
        <v>Luca Steve</v>
      </c>
      <c r="D316" s="7">
        <f>IF(ASV_Daten!D317="","",ASV_Daten!D317)</f>
        <v>2011</v>
      </c>
      <c r="E316" s="7" t="str">
        <f>IF(ASV_Daten!E317="","",ASV_Daten!E317)</f>
        <v>M</v>
      </c>
      <c r="F316" s="8" t="str">
        <f t="shared" si="1"/>
        <v>8</v>
      </c>
      <c r="G316" s="9">
        <f t="shared" si="2"/>
        <v>15</v>
      </c>
      <c r="H316" s="11"/>
      <c r="I316" s="11">
        <f t="shared" si="3"/>
        <v>0</v>
      </c>
      <c r="J316" s="12">
        <v>11.5</v>
      </c>
      <c r="K316" s="11">
        <f t="shared" si="11"/>
        <v>344</v>
      </c>
      <c r="L316" s="12">
        <v>4.01</v>
      </c>
      <c r="M316" s="11">
        <f t="shared" si="5"/>
        <v>389</v>
      </c>
      <c r="N316" s="12">
        <v>35.0</v>
      </c>
      <c r="O316" s="11">
        <f t="shared" si="6"/>
        <v>320</v>
      </c>
      <c r="P316" s="11" t="str">
        <f t="shared" si="7"/>
        <v>Punkte M 7-9</v>
      </c>
      <c r="Q316" s="11" t="str">
        <f t="shared" si="8"/>
        <v>Noten-Matrix-Jungen</v>
      </c>
      <c r="R316" s="13">
        <f t="shared" si="9"/>
        <v>1053</v>
      </c>
      <c r="S316" s="11" t="str">
        <f>IF(R316=0, "Keine Teilnahme", IFERROR(IF(R316&gt;=VLOOKUP(G316&amp;LOWER(E316), Formeln!$H$2:$K$30, 4, FALSE), "Ehrenurkunde", IF(R316&gt;=VLOOKUP(G316&amp;LOWER(E316), Formeln!$H$2:$K$30, 3, FALSE), "Siegerurkunde", "Teilnehmerurkunde")), "Keine Urkunde"))</f>
        <v>Siegerurkunde</v>
      </c>
      <c r="T316" s="14">
        <f t="shared" si="10"/>
        <v>2.4</v>
      </c>
    </row>
    <row r="317" ht="19.5" hidden="1" customHeight="1">
      <c r="A317" s="15" t="str">
        <f>IF(ASV_Daten!A309="","",ASV_Daten!A309)</f>
        <v>R8C</v>
      </c>
      <c r="B317" s="15" t="str">
        <f>IF(ASV_Daten!B309="","",ASV_Daten!B309)</f>
        <v>Ketterer</v>
      </c>
      <c r="C317" s="15" t="str">
        <f>IF(ASV_Daten!C309="","",ASV_Daten!C309)</f>
        <v>Marvin</v>
      </c>
      <c r="D317" s="15">
        <f>IF(ASV_Daten!D309="","",ASV_Daten!D309)</f>
        <v>2011</v>
      </c>
      <c r="E317" s="15" t="str">
        <f>IF(ASV_Daten!E309="","",ASV_Daten!E309)</f>
        <v>M</v>
      </c>
      <c r="F317" s="16" t="str">
        <f t="shared" si="1"/>
        <v>8</v>
      </c>
      <c r="G317" s="17">
        <f t="shared" si="2"/>
        <v>15</v>
      </c>
      <c r="H317" s="19"/>
      <c r="I317" s="19">
        <f t="shared" si="3"/>
        <v>0</v>
      </c>
      <c r="J317" s="20">
        <v>11.2</v>
      </c>
      <c r="K317" s="19">
        <f t="shared" si="11"/>
        <v>369</v>
      </c>
      <c r="L317" s="20">
        <v>4.6</v>
      </c>
      <c r="M317" s="19">
        <f t="shared" si="5"/>
        <v>450</v>
      </c>
      <c r="N317" s="20">
        <v>42.0</v>
      </c>
      <c r="O317" s="19">
        <f t="shared" si="6"/>
        <v>366</v>
      </c>
      <c r="P317" s="19" t="str">
        <f t="shared" si="7"/>
        <v>Punkte M 7-9</v>
      </c>
      <c r="Q317" s="19" t="str">
        <f t="shared" si="8"/>
        <v>Noten-Matrix-Jungen</v>
      </c>
      <c r="R317" s="21">
        <f t="shared" si="9"/>
        <v>1185</v>
      </c>
      <c r="S317" s="19" t="str">
        <f>IF(R317=0, "Keine Teilnahme", IFERROR(IF(R317&gt;=VLOOKUP(G317&amp;LOWER(E317), Formeln!$H$2:$K$30, 4, FALSE), "Ehrenurkunde", IF(R317&gt;=VLOOKUP(G317&amp;LOWER(E317), Formeln!$H$2:$K$30, 3, FALSE), "Siegerurkunde", "Teilnehmerurkunde")), "Keine Urkunde"))</f>
        <v>Siegerurkunde</v>
      </c>
      <c r="T317" s="22">
        <f t="shared" si="10"/>
        <v>1.7</v>
      </c>
    </row>
    <row r="318" ht="19.5" hidden="1" customHeight="1">
      <c r="A318" s="7" t="str">
        <f>IF(ASV_Daten!A323="","",ASV_Daten!A323)</f>
        <v>R8C</v>
      </c>
      <c r="B318" s="7" t="str">
        <f>IF(ASV_Daten!B323="","",ASV_Daten!B323)</f>
        <v>Vogelbacher</v>
      </c>
      <c r="C318" s="7" t="str">
        <f>IF(ASV_Daten!C323="","",ASV_Daten!C323)</f>
        <v>Max</v>
      </c>
      <c r="D318" s="7">
        <f>IF(ASV_Daten!D323="","",ASV_Daten!D323)</f>
        <v>2012</v>
      </c>
      <c r="E318" s="7" t="str">
        <f>IF(ASV_Daten!E323="","",ASV_Daten!E323)</f>
        <v>M</v>
      </c>
      <c r="F318" s="8" t="str">
        <f t="shared" si="1"/>
        <v>8</v>
      </c>
      <c r="G318" s="9">
        <f t="shared" si="2"/>
        <v>14</v>
      </c>
      <c r="H318" s="11"/>
      <c r="I318" s="11">
        <f t="shared" si="3"/>
        <v>0</v>
      </c>
      <c r="J318" s="12">
        <v>10.9</v>
      </c>
      <c r="K318" s="11">
        <f t="shared" si="11"/>
        <v>396</v>
      </c>
      <c r="L318" s="12">
        <v>3.57</v>
      </c>
      <c r="M318" s="11">
        <f t="shared" si="5"/>
        <v>337</v>
      </c>
      <c r="N318" s="12">
        <v>22.0</v>
      </c>
      <c r="O318" s="11">
        <f t="shared" si="6"/>
        <v>222</v>
      </c>
      <c r="P318" s="11" t="str">
        <f t="shared" si="7"/>
        <v>Punkte M 7-9</v>
      </c>
      <c r="Q318" s="11" t="str">
        <f t="shared" si="8"/>
        <v>Noten-Matrix-Jungen</v>
      </c>
      <c r="R318" s="13">
        <f t="shared" si="9"/>
        <v>955</v>
      </c>
      <c r="S318" s="11" t="str">
        <f>IF(R318=0, "Keine Teilnahme", IFERROR(IF(R318&gt;=VLOOKUP(G318&amp;LOWER(E318), Formeln!$H$2:$K$30, 4, FALSE), "Ehrenurkunde", IF(R318&gt;=VLOOKUP(G318&amp;LOWER(E318), Formeln!$H$2:$K$30, 3, FALSE), "Siegerurkunde", "Teilnehmerurkunde")), "Keine Urkunde"))</f>
        <v>Siegerurkunde</v>
      </c>
      <c r="T318" s="14">
        <f t="shared" si="10"/>
        <v>2.4</v>
      </c>
    </row>
    <row r="319" ht="19.5" hidden="1" customHeight="1">
      <c r="A319" s="15" t="str">
        <f>IF(ASV_Daten!A313="","",ASV_Daten!A313)</f>
        <v>R8C</v>
      </c>
      <c r="B319" s="15" t="str">
        <f>IF(ASV_Daten!B313="","",ASV_Daten!B313)</f>
        <v>Muherina</v>
      </c>
      <c r="C319" s="15" t="str">
        <f>IF(ASV_Daten!C313="","",ASV_Daten!C313)</f>
        <v>Medina</v>
      </c>
      <c r="D319" s="15">
        <f>IF(ASV_Daten!D313="","",ASV_Daten!D313)</f>
        <v>2012</v>
      </c>
      <c r="E319" s="15" t="str">
        <f>IF(ASV_Daten!E313="","",ASV_Daten!E313)</f>
        <v>W</v>
      </c>
      <c r="F319" s="16" t="str">
        <f t="shared" si="1"/>
        <v>8</v>
      </c>
      <c r="G319" s="17">
        <f t="shared" si="2"/>
        <v>14</v>
      </c>
      <c r="H319" s="25"/>
      <c r="I319" s="19">
        <f t="shared" si="3"/>
        <v>0</v>
      </c>
      <c r="J319" s="19"/>
      <c r="K319" s="19">
        <f t="shared" si="11"/>
        <v>0</v>
      </c>
      <c r="L319" s="19"/>
      <c r="M319" s="19">
        <f t="shared" si="5"/>
        <v>0</v>
      </c>
      <c r="N319" s="19"/>
      <c r="O319" s="19">
        <f t="shared" si="6"/>
        <v>0</v>
      </c>
      <c r="P319" s="19" t="str">
        <f t="shared" si="7"/>
        <v>Punkte W 7-9</v>
      </c>
      <c r="Q319" s="19" t="str">
        <f t="shared" si="8"/>
        <v>Noten-Matrix-Mädchen</v>
      </c>
      <c r="R319" s="21">
        <f t="shared" si="9"/>
        <v>0</v>
      </c>
      <c r="S319" s="19" t="str">
        <f>IF(R319=0, "Keine Teilnahme", IFERROR(IF(R319&gt;=VLOOKUP(G319&amp;LOWER(E319), Formeln!$H$2:$K$30, 4, FALSE), "Ehrenurkunde", IF(R319&gt;=VLOOKUP(G319&amp;LOWER(E319), Formeln!$H$2:$K$30, 3, FALSE), "Siegerurkunde", "Teilnehmerurkunde")), "Keine Urkunde"))</f>
        <v>Keine Teilnahme</v>
      </c>
      <c r="T319" s="22" t="str">
        <f t="shared" si="10"/>
        <v>Keine Teilnahme</v>
      </c>
    </row>
    <row r="320" ht="19.5" hidden="1" customHeight="1">
      <c r="A320" s="7" t="str">
        <f>IF(ASV_Daten!A320="","",ASV_Daten!A320)</f>
        <v>R8C</v>
      </c>
      <c r="B320" s="7" t="str">
        <f>IF(ASV_Daten!B320="","",ASV_Daten!B320)</f>
        <v>Staiger</v>
      </c>
      <c r="C320" s="7" t="str">
        <f>IF(ASV_Daten!C320="","",ASV_Daten!C320)</f>
        <v>Quentin</v>
      </c>
      <c r="D320" s="7">
        <f>IF(ASV_Daten!D320="","",ASV_Daten!D320)</f>
        <v>2011</v>
      </c>
      <c r="E320" s="7" t="str">
        <f>IF(ASV_Daten!E320="","",ASV_Daten!E320)</f>
        <v>M</v>
      </c>
      <c r="F320" s="8" t="str">
        <f t="shared" si="1"/>
        <v>8</v>
      </c>
      <c r="G320" s="9">
        <f t="shared" si="2"/>
        <v>15</v>
      </c>
      <c r="H320" s="11"/>
      <c r="I320" s="11">
        <f t="shared" si="3"/>
        <v>0</v>
      </c>
      <c r="J320" s="12">
        <v>10.0</v>
      </c>
      <c r="K320" s="11">
        <f t="shared" si="11"/>
        <v>485</v>
      </c>
      <c r="L320" s="11"/>
      <c r="M320" s="11">
        <f t="shared" si="5"/>
        <v>0</v>
      </c>
      <c r="N320" s="12">
        <v>35.0</v>
      </c>
      <c r="O320" s="11">
        <f t="shared" si="6"/>
        <v>320</v>
      </c>
      <c r="P320" s="11" t="str">
        <f t="shared" si="7"/>
        <v>Punkte M 7-9</v>
      </c>
      <c r="Q320" s="11" t="str">
        <f t="shared" si="8"/>
        <v>Noten-Matrix-Jungen</v>
      </c>
      <c r="R320" s="13">
        <f t="shared" si="9"/>
        <v>805</v>
      </c>
      <c r="S320" s="11" t="str">
        <f>IF(R320=0, "Keine Teilnahme", IFERROR(IF(R320&gt;=VLOOKUP(G320&amp;LOWER(E320), Formeln!$H$2:$K$30, 4, FALSE), "Ehrenurkunde", IF(R320&gt;=VLOOKUP(G320&amp;LOWER(E320), Formeln!$H$2:$K$30, 3, FALSE), "Siegerurkunde", "Teilnehmerurkunde")), "Keine Urkunde"))</f>
        <v>Teilnehmerurkunde</v>
      </c>
      <c r="T320" s="14">
        <f t="shared" si="10"/>
        <v>4</v>
      </c>
    </row>
    <row r="321" ht="19.5" hidden="1" customHeight="1">
      <c r="A321" s="15" t="str">
        <f>IF(ASV_Daten!A315="","",ASV_Daten!A315)</f>
        <v>R8C</v>
      </c>
      <c r="B321" s="15" t="str">
        <f>IF(ASV_Daten!B315="","",ASV_Daten!B315)</f>
        <v>Schäfer</v>
      </c>
      <c r="C321" s="15" t="str">
        <f>IF(ASV_Daten!C315="","",ASV_Daten!C315)</f>
        <v>Saya</v>
      </c>
      <c r="D321" s="15">
        <f>IF(ASV_Daten!D315="","",ASV_Daten!D315)</f>
        <v>2011</v>
      </c>
      <c r="E321" s="15" t="str">
        <f>IF(ASV_Daten!E315="","",ASV_Daten!E315)</f>
        <v>W</v>
      </c>
      <c r="F321" s="16" t="str">
        <f t="shared" si="1"/>
        <v>8</v>
      </c>
      <c r="G321" s="17">
        <f t="shared" si="2"/>
        <v>15</v>
      </c>
      <c r="H321" s="19"/>
      <c r="I321" s="19">
        <f t="shared" si="3"/>
        <v>0</v>
      </c>
      <c r="J321" s="19"/>
      <c r="K321" s="19">
        <f t="shared" si="11"/>
        <v>0</v>
      </c>
      <c r="L321" s="19"/>
      <c r="M321" s="19">
        <f t="shared" si="5"/>
        <v>0</v>
      </c>
      <c r="N321" s="19"/>
      <c r="O321" s="19">
        <f t="shared" si="6"/>
        <v>0</v>
      </c>
      <c r="P321" s="19" t="str">
        <f t="shared" si="7"/>
        <v>Punkte W 7-9</v>
      </c>
      <c r="Q321" s="19" t="str">
        <f t="shared" si="8"/>
        <v>Noten-Matrix-Mädchen</v>
      </c>
      <c r="R321" s="21">
        <f t="shared" si="9"/>
        <v>0</v>
      </c>
      <c r="S321" s="19" t="str">
        <f>IF(R321=0, "Keine Teilnahme", IFERROR(IF(R321&gt;=VLOOKUP(G321&amp;LOWER(E321), Formeln!$H$2:$K$30, 4, FALSE), "Ehrenurkunde", IF(R321&gt;=VLOOKUP(G321&amp;LOWER(E321), Formeln!$H$2:$K$30, 3, FALSE), "Siegerurkunde", "Teilnehmerurkunde")), "Keine Urkunde"))</f>
        <v>Keine Teilnahme</v>
      </c>
      <c r="T321" s="22" t="str">
        <f t="shared" si="10"/>
        <v>Keine Teilnahme</v>
      </c>
    </row>
    <row r="322" ht="19.5" hidden="1" customHeight="1">
      <c r="A322" s="7" t="str">
        <f>IF(ASV_Daten!A304="","",ASV_Daten!A304)</f>
        <v>R8C</v>
      </c>
      <c r="B322" s="7" t="str">
        <f>IF(ASV_Daten!B304="","",ASV_Daten!B304)</f>
        <v>Beese</v>
      </c>
      <c r="C322" s="7" t="str">
        <f>IF(ASV_Daten!C304="","",ASV_Daten!C304)</f>
        <v>Sebastian</v>
      </c>
      <c r="D322" s="7">
        <f>IF(ASV_Daten!D304="","",ASV_Daten!D304)</f>
        <v>2011</v>
      </c>
      <c r="E322" s="7" t="str">
        <f>IF(ASV_Daten!E304="","",ASV_Daten!E304)</f>
        <v>M</v>
      </c>
      <c r="F322" s="8" t="str">
        <f t="shared" si="1"/>
        <v>8</v>
      </c>
      <c r="G322" s="9">
        <f t="shared" si="2"/>
        <v>15</v>
      </c>
      <c r="H322" s="11"/>
      <c r="I322" s="11">
        <f t="shared" si="3"/>
        <v>0</v>
      </c>
      <c r="J322" s="11"/>
      <c r="K322" s="11">
        <f t="shared" si="11"/>
        <v>0</v>
      </c>
      <c r="L322" s="12">
        <v>3.89</v>
      </c>
      <c r="M322" s="11">
        <f t="shared" si="5"/>
        <v>375</v>
      </c>
      <c r="N322" s="11"/>
      <c r="O322" s="11">
        <f t="shared" si="6"/>
        <v>0</v>
      </c>
      <c r="P322" s="11" t="str">
        <f t="shared" si="7"/>
        <v>Punkte M 7-9</v>
      </c>
      <c r="Q322" s="11" t="str">
        <f t="shared" si="8"/>
        <v>Noten-Matrix-Jungen</v>
      </c>
      <c r="R322" s="13">
        <f t="shared" si="9"/>
        <v>375</v>
      </c>
      <c r="S322" s="11" t="str">
        <f>IF(R322=0, "Keine Teilnahme", IFERROR(IF(R322&gt;=VLOOKUP(G322&amp;LOWER(E322), Formeln!$H$2:$K$30, 4, FALSE), "Ehrenurkunde", IF(R322&gt;=VLOOKUP(G322&amp;LOWER(E322), Formeln!$H$2:$K$30, 3, FALSE), "Siegerurkunde", "Teilnehmerurkunde")), "Keine Urkunde"))</f>
        <v>Teilnehmerurkunde</v>
      </c>
      <c r="T322" s="14" t="str">
        <f t="shared" si="10"/>
        <v>NOTE</v>
      </c>
    </row>
    <row r="323" ht="19.5" hidden="1" customHeight="1">
      <c r="A323" s="15" t="str">
        <f>IF(ASV_Daten!A307="","",ASV_Daten!A307)</f>
        <v>R8C</v>
      </c>
      <c r="B323" s="15" t="str">
        <f>IF(ASV_Daten!B307="","",ASV_Daten!B307)</f>
        <v>Funk</v>
      </c>
      <c r="C323" s="15" t="str">
        <f>IF(ASV_Daten!C307="","",ASV_Daten!C307)</f>
        <v>Sebastian Alexander</v>
      </c>
      <c r="D323" s="15">
        <f>IF(ASV_Daten!D307="","",ASV_Daten!D307)</f>
        <v>2012</v>
      </c>
      <c r="E323" s="15" t="str">
        <f>IF(ASV_Daten!E307="","",ASV_Daten!E307)</f>
        <v>M</v>
      </c>
      <c r="F323" s="16" t="str">
        <f t="shared" si="1"/>
        <v>8</v>
      </c>
      <c r="G323" s="17">
        <f t="shared" si="2"/>
        <v>14</v>
      </c>
      <c r="H323" s="19"/>
      <c r="I323" s="19">
        <f t="shared" si="3"/>
        <v>0</v>
      </c>
      <c r="J323" s="20">
        <v>11.8</v>
      </c>
      <c r="K323" s="19">
        <f t="shared" si="11"/>
        <v>320</v>
      </c>
      <c r="L323" s="20">
        <v>4.05</v>
      </c>
      <c r="M323" s="19">
        <f t="shared" si="5"/>
        <v>393</v>
      </c>
      <c r="N323" s="20">
        <v>22.0</v>
      </c>
      <c r="O323" s="19">
        <f t="shared" si="6"/>
        <v>222</v>
      </c>
      <c r="P323" s="19" t="str">
        <f t="shared" si="7"/>
        <v>Punkte M 7-9</v>
      </c>
      <c r="Q323" s="19" t="str">
        <f t="shared" si="8"/>
        <v>Noten-Matrix-Jungen</v>
      </c>
      <c r="R323" s="21">
        <f t="shared" si="9"/>
        <v>935</v>
      </c>
      <c r="S323" s="19" t="str">
        <f>IF(R323=0, "Keine Teilnahme", IFERROR(IF(R323&gt;=VLOOKUP(G323&amp;LOWER(E323), Formeln!$H$2:$K$30, 4, FALSE), "Ehrenurkunde", IF(R323&gt;=VLOOKUP(G323&amp;LOWER(E323), Formeln!$H$2:$K$30, 3, FALSE), "Siegerurkunde", "Teilnehmerurkunde")), "Keine Urkunde"))</f>
        <v>Siegerurkunde</v>
      </c>
      <c r="T323" s="22">
        <f t="shared" si="10"/>
        <v>2.6</v>
      </c>
    </row>
    <row r="324" ht="19.5" hidden="1" customHeight="1">
      <c r="A324" s="7" t="str">
        <f>IF(ASV_Daten!A310="","",ASV_Daten!A310)</f>
        <v>R8C</v>
      </c>
      <c r="B324" s="7" t="str">
        <f>IF(ASV_Daten!B310="","",ASV_Daten!B310)</f>
        <v>Kleiser</v>
      </c>
      <c r="C324" s="7" t="str">
        <f>IF(ASV_Daten!C310="","",ASV_Daten!C310)</f>
        <v>Sophie</v>
      </c>
      <c r="D324" s="7">
        <f>IF(ASV_Daten!D310="","",ASV_Daten!D310)</f>
        <v>2012</v>
      </c>
      <c r="E324" s="7" t="str">
        <f>IF(ASV_Daten!E310="","",ASV_Daten!E310)</f>
        <v>W</v>
      </c>
      <c r="F324" s="8" t="str">
        <f t="shared" si="1"/>
        <v>8</v>
      </c>
      <c r="G324" s="9">
        <f t="shared" si="2"/>
        <v>14</v>
      </c>
      <c r="H324" s="27"/>
      <c r="I324" s="11">
        <f t="shared" si="3"/>
        <v>0</v>
      </c>
      <c r="J324" s="11"/>
      <c r="K324" s="11">
        <f t="shared" si="11"/>
        <v>0</v>
      </c>
      <c r="L324" s="11"/>
      <c r="M324" s="11">
        <f t="shared" si="5"/>
        <v>0</v>
      </c>
      <c r="N324" s="11"/>
      <c r="O324" s="11">
        <f t="shared" si="6"/>
        <v>0</v>
      </c>
      <c r="P324" s="11" t="str">
        <f t="shared" si="7"/>
        <v>Punkte W 7-9</v>
      </c>
      <c r="Q324" s="11" t="str">
        <f t="shared" si="8"/>
        <v>Noten-Matrix-Mädchen</v>
      </c>
      <c r="R324" s="13">
        <f t="shared" si="9"/>
        <v>0</v>
      </c>
      <c r="S324" s="11" t="str">
        <f>IF(R324=0, "Keine Teilnahme", IFERROR(IF(R324&gt;=VLOOKUP(G324&amp;LOWER(E324), Formeln!$H$2:$K$30, 4, FALSE), "Ehrenurkunde", IF(R324&gt;=VLOOKUP(G324&amp;LOWER(E324), Formeln!$H$2:$K$30, 3, FALSE), "Siegerurkunde", "Teilnehmerurkunde")), "Keine Urkunde"))</f>
        <v>Keine Teilnahme</v>
      </c>
      <c r="T324" s="14" t="str">
        <f t="shared" si="10"/>
        <v>Keine Teilnahme</v>
      </c>
    </row>
    <row r="325" ht="19.5" hidden="1" customHeight="1">
      <c r="A325" s="15" t="str">
        <f>IF(ASV_Daten!A312="","",ASV_Daten!A312)</f>
        <v>R8C</v>
      </c>
      <c r="B325" s="15" t="str">
        <f>IF(ASV_Daten!B312="","",ASV_Daten!B312)</f>
        <v>Kubik</v>
      </c>
      <c r="C325" s="15" t="str">
        <f>IF(ASV_Daten!C312="","",ASV_Daten!C312)</f>
        <v>Thomas</v>
      </c>
      <c r="D325" s="15">
        <f>IF(ASV_Daten!D312="","",ASV_Daten!D312)</f>
        <v>2012</v>
      </c>
      <c r="E325" s="15" t="str">
        <f>IF(ASV_Daten!E312="","",ASV_Daten!E312)</f>
        <v>M</v>
      </c>
      <c r="F325" s="16" t="str">
        <f t="shared" si="1"/>
        <v>8</v>
      </c>
      <c r="G325" s="17">
        <f t="shared" si="2"/>
        <v>14</v>
      </c>
      <c r="H325" s="18">
        <v>0.1638888888888889</v>
      </c>
      <c r="I325" s="19">
        <f t="shared" si="3"/>
        <v>346</v>
      </c>
      <c r="J325" s="19"/>
      <c r="K325" s="19">
        <f t="shared" si="11"/>
        <v>0</v>
      </c>
      <c r="L325" s="20">
        <v>4.53</v>
      </c>
      <c r="M325" s="19">
        <f t="shared" si="5"/>
        <v>446</v>
      </c>
      <c r="N325" s="20">
        <v>37.0</v>
      </c>
      <c r="O325" s="19">
        <f t="shared" si="6"/>
        <v>334</v>
      </c>
      <c r="P325" s="19" t="str">
        <f t="shared" si="7"/>
        <v>Punkte M 7-9</v>
      </c>
      <c r="Q325" s="19" t="str">
        <f t="shared" si="8"/>
        <v>Noten-Matrix-Jungen</v>
      </c>
      <c r="R325" s="21">
        <f t="shared" si="9"/>
        <v>1126</v>
      </c>
      <c r="S325" s="19" t="str">
        <f>IF(R325=0, "Keine Teilnahme", IFERROR(IF(R325&gt;=VLOOKUP(G325&amp;LOWER(E325), Formeln!$H$2:$K$30, 4, FALSE), "Ehrenurkunde", IF(R325&gt;=VLOOKUP(G325&amp;LOWER(E325), Formeln!$H$2:$K$30, 3, FALSE), "Siegerurkunde", "Teilnehmerurkunde")), "Keine Urkunde"))</f>
        <v>Siegerurkunde</v>
      </c>
      <c r="T325" s="22">
        <f t="shared" si="10"/>
        <v>1.5</v>
      </c>
    </row>
    <row r="326" ht="19.5" hidden="1" customHeight="1">
      <c r="A326" s="7" t="str">
        <f>IF(ASV_Daten!A321="","",ASV_Daten!A321)</f>
        <v>R8C</v>
      </c>
      <c r="B326" s="7" t="str">
        <f>IF(ASV_Daten!B321="","",ASV_Daten!B321)</f>
        <v>Stemmler</v>
      </c>
      <c r="C326" s="7" t="str">
        <f>IF(ASV_Daten!C321="","",ASV_Daten!C321)</f>
        <v>Zoey</v>
      </c>
      <c r="D326" s="7">
        <f>IF(ASV_Daten!D321="","",ASV_Daten!D321)</f>
        <v>2011</v>
      </c>
      <c r="E326" s="7" t="str">
        <f>IF(ASV_Daten!E321="","",ASV_Daten!E321)</f>
        <v>W</v>
      </c>
      <c r="F326" s="8" t="str">
        <f t="shared" si="1"/>
        <v>8</v>
      </c>
      <c r="G326" s="9">
        <f t="shared" si="2"/>
        <v>15</v>
      </c>
      <c r="H326" s="11"/>
      <c r="I326" s="11">
        <f t="shared" si="3"/>
        <v>0</v>
      </c>
      <c r="J326" s="11"/>
      <c r="K326" s="11">
        <f t="shared" si="11"/>
        <v>0</v>
      </c>
      <c r="L326" s="11"/>
      <c r="M326" s="11">
        <f t="shared" si="5"/>
        <v>0</v>
      </c>
      <c r="N326" s="11"/>
      <c r="O326" s="11">
        <f t="shared" si="6"/>
        <v>0</v>
      </c>
      <c r="P326" s="11" t="str">
        <f t="shared" si="7"/>
        <v>Punkte W 7-9</v>
      </c>
      <c r="Q326" s="11" t="str">
        <f t="shared" si="8"/>
        <v>Noten-Matrix-Mädchen</v>
      </c>
      <c r="R326" s="13">
        <f t="shared" si="9"/>
        <v>0</v>
      </c>
      <c r="S326" s="11" t="str">
        <f>IF(R326=0, "Keine Teilnahme", IFERROR(IF(R326&gt;=VLOOKUP(G326&amp;LOWER(E326), Formeln!$H$2:$K$30, 4, FALSE), "Ehrenurkunde", IF(R326&gt;=VLOOKUP(G326&amp;LOWER(E326), Formeln!$H$2:$K$30, 3, FALSE), "Siegerurkunde", "Teilnehmerurkunde")), "Keine Urkunde"))</f>
        <v>Keine Teilnahme</v>
      </c>
      <c r="T326" s="14" t="str">
        <f t="shared" si="10"/>
        <v>Keine Teilnahme</v>
      </c>
    </row>
    <row r="327" ht="19.5" hidden="1" customHeight="1">
      <c r="A327" s="15" t="str">
        <f>IF(ASV_Daten!A351="","",ASV_Daten!A351)</f>
        <v>R8D</v>
      </c>
      <c r="B327" s="15" t="str">
        <f>IF(ASV_Daten!B351="","",ASV_Daten!B351)</f>
        <v>Schwab</v>
      </c>
      <c r="C327" s="15" t="str">
        <f>IF(ASV_Daten!C351="","",ASV_Daten!C351)</f>
        <v>Angelika</v>
      </c>
      <c r="D327" s="15">
        <f>IF(ASV_Daten!D351="","",ASV_Daten!D351)</f>
        <v>2011</v>
      </c>
      <c r="E327" s="15" t="str">
        <f>IF(ASV_Daten!E351="","",ASV_Daten!E351)</f>
        <v>W</v>
      </c>
      <c r="F327" s="16" t="str">
        <f t="shared" si="1"/>
        <v>8</v>
      </c>
      <c r="G327" s="17">
        <f t="shared" si="2"/>
        <v>15</v>
      </c>
      <c r="H327" s="19"/>
      <c r="I327" s="19">
        <f t="shared" si="3"/>
        <v>0</v>
      </c>
      <c r="J327" s="19"/>
      <c r="K327" s="19">
        <f t="shared" si="11"/>
        <v>0</v>
      </c>
      <c r="L327" s="19"/>
      <c r="M327" s="19">
        <f t="shared" si="5"/>
        <v>0</v>
      </c>
      <c r="N327" s="19"/>
      <c r="O327" s="19">
        <f t="shared" si="6"/>
        <v>0</v>
      </c>
      <c r="P327" s="19" t="str">
        <f t="shared" si="7"/>
        <v>Punkte W 7-9</v>
      </c>
      <c r="Q327" s="19" t="str">
        <f t="shared" si="8"/>
        <v>Noten-Matrix-Mädchen</v>
      </c>
      <c r="R327" s="21">
        <f t="shared" si="9"/>
        <v>0</v>
      </c>
      <c r="S327" s="19" t="str">
        <f>IF(R327=0, "Keine Teilnahme", IFERROR(IF(R327&gt;=VLOOKUP(G327&amp;LOWER(E327), Formeln!$H$2:$K$30, 4, FALSE), "Ehrenurkunde", IF(R327&gt;=VLOOKUP(G327&amp;LOWER(E327), Formeln!$H$2:$K$30, 3, FALSE), "Siegerurkunde", "Teilnehmerurkunde")), "Keine Urkunde"))</f>
        <v>Keine Teilnahme</v>
      </c>
      <c r="T327" s="22" t="str">
        <f t="shared" si="10"/>
        <v>Keine Teilnahme</v>
      </c>
    </row>
    <row r="328" ht="19.5" hidden="1" customHeight="1">
      <c r="A328" s="7" t="str">
        <f>IF(ASV_Daten!A341="","",ASV_Daten!A341)</f>
        <v>R8D</v>
      </c>
      <c r="B328" s="7" t="str">
        <f>IF(ASV_Daten!B341="","",ASV_Daten!B341)</f>
        <v>Molnar</v>
      </c>
      <c r="C328" s="7" t="str">
        <f>IF(ASV_Daten!C341="","",ASV_Daten!C341)</f>
        <v>Bank</v>
      </c>
      <c r="D328" s="7">
        <f>IF(ASV_Daten!D341="","",ASV_Daten!D341)</f>
        <v>2012</v>
      </c>
      <c r="E328" s="7" t="str">
        <f>IF(ASV_Daten!E341="","",ASV_Daten!E341)</f>
        <v>M</v>
      </c>
      <c r="F328" s="8" t="str">
        <f t="shared" si="1"/>
        <v>8</v>
      </c>
      <c r="G328" s="9">
        <f t="shared" si="2"/>
        <v>14</v>
      </c>
      <c r="H328" s="11"/>
      <c r="I328" s="11">
        <f t="shared" si="3"/>
        <v>0</v>
      </c>
      <c r="J328" s="12">
        <v>12.0</v>
      </c>
      <c r="K328" s="11">
        <f t="shared" si="11"/>
        <v>305</v>
      </c>
      <c r="L328" s="12">
        <v>3.97</v>
      </c>
      <c r="M328" s="11">
        <f t="shared" si="5"/>
        <v>384</v>
      </c>
      <c r="N328" s="12">
        <v>19.5</v>
      </c>
      <c r="O328" s="11">
        <f t="shared" si="6"/>
        <v>199</v>
      </c>
      <c r="P328" s="11" t="str">
        <f t="shared" si="7"/>
        <v>Punkte M 7-9</v>
      </c>
      <c r="Q328" s="11" t="str">
        <f t="shared" si="8"/>
        <v>Noten-Matrix-Jungen</v>
      </c>
      <c r="R328" s="13">
        <f t="shared" si="9"/>
        <v>888</v>
      </c>
      <c r="S328" s="11" t="str">
        <f>IF(R328=0, "Keine Teilnahme", IFERROR(IF(R328&gt;=VLOOKUP(G328&amp;LOWER(E328), Formeln!$H$2:$K$30, 4, FALSE), "Ehrenurkunde", IF(R328&gt;=VLOOKUP(G328&amp;LOWER(E328), Formeln!$H$2:$K$30, 3, FALSE), "Siegerurkunde", "Teilnehmerurkunde")), "Keine Urkunde"))</f>
        <v>Teilnehmerurkunde</v>
      </c>
      <c r="T328" s="14">
        <f t="shared" si="10"/>
        <v>2.8</v>
      </c>
    </row>
    <row r="329" ht="19.5" hidden="1" customHeight="1">
      <c r="A329" s="15" t="str">
        <f>IF(ASV_Daten!A329="","",ASV_Daten!A329)</f>
        <v>R8D</v>
      </c>
      <c r="B329" s="15" t="str">
        <f>IF(ASV_Daten!B329="","",ASV_Daten!B329)</f>
        <v>Drescher</v>
      </c>
      <c r="C329" s="15" t="str">
        <f>IF(ASV_Daten!C329="","",ASV_Daten!C329)</f>
        <v>Briella</v>
      </c>
      <c r="D329" s="15">
        <f>IF(ASV_Daten!D329="","",ASV_Daten!D329)</f>
        <v>2012</v>
      </c>
      <c r="E329" s="15" t="str">
        <f>IF(ASV_Daten!E329="","",ASV_Daten!E329)</f>
        <v>W</v>
      </c>
      <c r="F329" s="16" t="str">
        <f t="shared" si="1"/>
        <v>8</v>
      </c>
      <c r="G329" s="17">
        <f t="shared" si="2"/>
        <v>14</v>
      </c>
      <c r="H329" s="25"/>
      <c r="I329" s="19">
        <f t="shared" si="3"/>
        <v>0</v>
      </c>
      <c r="J329" s="19"/>
      <c r="K329" s="19">
        <f t="shared" si="11"/>
        <v>0</v>
      </c>
      <c r="L329" s="19"/>
      <c r="M329" s="19">
        <f t="shared" si="5"/>
        <v>0</v>
      </c>
      <c r="N329" s="19"/>
      <c r="O329" s="19">
        <f t="shared" si="6"/>
        <v>0</v>
      </c>
      <c r="P329" s="19" t="str">
        <f t="shared" si="7"/>
        <v>Punkte W 7-9</v>
      </c>
      <c r="Q329" s="19" t="str">
        <f t="shared" si="8"/>
        <v>Noten-Matrix-Mädchen</v>
      </c>
      <c r="R329" s="21">
        <f t="shared" si="9"/>
        <v>0</v>
      </c>
      <c r="S329" s="19" t="str">
        <f>IF(R329=0, "Keine Teilnahme", IFERROR(IF(R329&gt;=VLOOKUP(G329&amp;LOWER(E329), Formeln!$H$2:$K$30, 4, FALSE), "Ehrenurkunde", IF(R329&gt;=VLOOKUP(G329&amp;LOWER(E329), Formeln!$H$2:$K$30, 3, FALSE), "Siegerurkunde", "Teilnehmerurkunde")), "Keine Urkunde"))</f>
        <v>Keine Teilnahme</v>
      </c>
      <c r="T329" s="22" t="str">
        <f t="shared" si="10"/>
        <v>Keine Teilnahme</v>
      </c>
    </row>
    <row r="330" ht="19.5" hidden="1" customHeight="1">
      <c r="A330" s="7" t="str">
        <f>IF(ASV_Daten!A337="","",ASV_Daten!A337)</f>
        <v>R8D</v>
      </c>
      <c r="B330" s="7" t="str">
        <f>IF(ASV_Daten!B337="","",ASV_Daten!B337)</f>
        <v>Kleiser</v>
      </c>
      <c r="C330" s="7" t="str">
        <f>IF(ASV_Daten!C337="","",ASV_Daten!C337)</f>
        <v>Colin Alexander</v>
      </c>
      <c r="D330" s="7">
        <f>IF(ASV_Daten!D337="","",ASV_Daten!D337)</f>
        <v>2012</v>
      </c>
      <c r="E330" s="7" t="str">
        <f>IF(ASV_Daten!E337="","",ASV_Daten!E337)</f>
        <v>M</v>
      </c>
      <c r="F330" s="8" t="str">
        <f t="shared" si="1"/>
        <v>8</v>
      </c>
      <c r="G330" s="9">
        <f t="shared" si="2"/>
        <v>14</v>
      </c>
      <c r="H330" s="11"/>
      <c r="I330" s="11">
        <f t="shared" si="3"/>
        <v>0</v>
      </c>
      <c r="J330" s="12">
        <v>12.8</v>
      </c>
      <c r="K330" s="11">
        <f t="shared" si="11"/>
        <v>248</v>
      </c>
      <c r="L330" s="12">
        <v>3.65</v>
      </c>
      <c r="M330" s="11">
        <f t="shared" si="5"/>
        <v>347</v>
      </c>
      <c r="N330" s="12">
        <v>33.0</v>
      </c>
      <c r="O330" s="11">
        <f t="shared" si="6"/>
        <v>307</v>
      </c>
      <c r="P330" s="11" t="str">
        <f t="shared" si="7"/>
        <v>Punkte M 7-9</v>
      </c>
      <c r="Q330" s="11" t="str">
        <f t="shared" si="8"/>
        <v>Noten-Matrix-Jungen</v>
      </c>
      <c r="R330" s="13">
        <f t="shared" si="9"/>
        <v>902</v>
      </c>
      <c r="S330" s="11" t="str">
        <f>IF(R330=0, "Keine Teilnahme", IFERROR(IF(R330&gt;=VLOOKUP(G330&amp;LOWER(E330), Formeln!$H$2:$K$30, 4, FALSE), "Ehrenurkunde", IF(R330&gt;=VLOOKUP(G330&amp;LOWER(E330), Formeln!$H$2:$K$30, 3, FALSE), "Siegerurkunde", "Teilnehmerurkunde")), "Keine Urkunde"))</f>
        <v>Siegerurkunde</v>
      </c>
      <c r="T330" s="14">
        <f t="shared" si="10"/>
        <v>2.7</v>
      </c>
    </row>
    <row r="331" ht="19.5" hidden="1" customHeight="1">
      <c r="A331" s="15" t="str">
        <f>IF(ASV_Daten!A334="","",ASV_Daten!A334)</f>
        <v>R8D</v>
      </c>
      <c r="B331" s="15" t="str">
        <f>IF(ASV_Daten!B334="","",ASV_Daten!B334)</f>
        <v>Hoch</v>
      </c>
      <c r="C331" s="15" t="str">
        <f>IF(ASV_Daten!C334="","",ASV_Daten!C334)</f>
        <v>David</v>
      </c>
      <c r="D331" s="15">
        <f>IF(ASV_Daten!D334="","",ASV_Daten!D334)</f>
        <v>2012</v>
      </c>
      <c r="E331" s="15" t="str">
        <f>IF(ASV_Daten!E334="","",ASV_Daten!E334)</f>
        <v>M</v>
      </c>
      <c r="F331" s="16" t="str">
        <f t="shared" si="1"/>
        <v>8</v>
      </c>
      <c r="G331" s="17">
        <f t="shared" si="2"/>
        <v>14</v>
      </c>
      <c r="H331" s="19"/>
      <c r="I331" s="19">
        <f t="shared" si="3"/>
        <v>0</v>
      </c>
      <c r="J331" s="20">
        <v>9.7</v>
      </c>
      <c r="K331" s="19">
        <f t="shared" si="11"/>
        <v>518</v>
      </c>
      <c r="L331" s="20">
        <v>4.25</v>
      </c>
      <c r="M331" s="19">
        <f t="shared" si="5"/>
        <v>416</v>
      </c>
      <c r="N331" s="20">
        <v>26.0</v>
      </c>
      <c r="O331" s="19">
        <f t="shared" si="6"/>
        <v>255</v>
      </c>
      <c r="P331" s="19" t="str">
        <f t="shared" si="7"/>
        <v>Punkte M 7-9</v>
      </c>
      <c r="Q331" s="19" t="str">
        <f t="shared" si="8"/>
        <v>Noten-Matrix-Jungen</v>
      </c>
      <c r="R331" s="21">
        <f t="shared" si="9"/>
        <v>1189</v>
      </c>
      <c r="S331" s="19" t="str">
        <f>IF(R331=0, "Keine Teilnahme", IFERROR(IF(R331&gt;=VLOOKUP(G331&amp;LOWER(E331), Formeln!$H$2:$K$30, 4, FALSE), "Ehrenurkunde", IF(R331&gt;=VLOOKUP(G331&amp;LOWER(E331), Formeln!$H$2:$K$30, 3, FALSE), "Siegerurkunde", "Teilnehmerurkunde")), "Keine Urkunde"))</f>
        <v>Ehrenurkunde</v>
      </c>
      <c r="T331" s="22">
        <f t="shared" si="10"/>
        <v>1.2</v>
      </c>
    </row>
    <row r="332" ht="19.5" hidden="1" customHeight="1">
      <c r="A332" s="7" t="str">
        <f>IF(ASV_Daten!A346="","",ASV_Daten!A346)</f>
        <v>R8D</v>
      </c>
      <c r="B332" s="7" t="str">
        <f>IF(ASV_Daten!B346="","",ASV_Daten!B346)</f>
        <v>Sabir</v>
      </c>
      <c r="C332" s="7" t="str">
        <f>IF(ASV_Daten!C346="","",ASV_Daten!C346)</f>
        <v>Doaa</v>
      </c>
      <c r="D332" s="7">
        <f>IF(ASV_Daten!D346="","",ASV_Daten!D346)</f>
        <v>2011</v>
      </c>
      <c r="E332" s="7" t="str">
        <f>IF(ASV_Daten!E346="","",ASV_Daten!E346)</f>
        <v>W</v>
      </c>
      <c r="F332" s="8" t="str">
        <f t="shared" si="1"/>
        <v>8</v>
      </c>
      <c r="G332" s="9">
        <f t="shared" si="2"/>
        <v>15</v>
      </c>
      <c r="H332" s="11"/>
      <c r="I332" s="11">
        <f t="shared" si="3"/>
        <v>0</v>
      </c>
      <c r="J332" s="11"/>
      <c r="K332" s="11">
        <f t="shared" si="11"/>
        <v>0</v>
      </c>
      <c r="L332" s="11"/>
      <c r="M332" s="11">
        <f t="shared" si="5"/>
        <v>0</v>
      </c>
      <c r="N332" s="11"/>
      <c r="O332" s="11">
        <f t="shared" si="6"/>
        <v>0</v>
      </c>
      <c r="P332" s="11" t="str">
        <f t="shared" si="7"/>
        <v>Punkte W 7-9</v>
      </c>
      <c r="Q332" s="11" t="str">
        <f t="shared" si="8"/>
        <v>Noten-Matrix-Mädchen</v>
      </c>
      <c r="R332" s="13">
        <f t="shared" si="9"/>
        <v>0</v>
      </c>
      <c r="S332" s="11" t="str">
        <f>IF(R332=0, "Keine Teilnahme", IFERROR(IF(R332&gt;=VLOOKUP(G332&amp;LOWER(E332), Formeln!$H$2:$K$30, 4, FALSE), "Ehrenurkunde", IF(R332&gt;=VLOOKUP(G332&amp;LOWER(E332), Formeln!$H$2:$K$30, 3, FALSE), "Siegerurkunde", "Teilnehmerurkunde")), "Keine Urkunde"))</f>
        <v>Keine Teilnahme</v>
      </c>
      <c r="T332" s="14" t="str">
        <f t="shared" si="10"/>
        <v>Keine Teilnahme</v>
      </c>
    </row>
    <row r="333" ht="19.5" hidden="1" customHeight="1">
      <c r="A333" s="15" t="str">
        <f>IF(ASV_Daten!A327="","",ASV_Daten!A327)</f>
        <v>R8D</v>
      </c>
      <c r="B333" s="15" t="str">
        <f>IF(ASV_Daten!B327="","",ASV_Daten!B327)</f>
        <v>Briber</v>
      </c>
      <c r="C333" s="15" t="str">
        <f>IF(ASV_Daten!C327="","",ASV_Daten!C327)</f>
        <v>Donia</v>
      </c>
      <c r="D333" s="15">
        <f>IF(ASV_Daten!D327="","",ASV_Daten!D327)</f>
        <v>2012</v>
      </c>
      <c r="E333" s="15" t="str">
        <f>IF(ASV_Daten!E327="","",ASV_Daten!E327)</f>
        <v>W</v>
      </c>
      <c r="F333" s="16" t="str">
        <f t="shared" si="1"/>
        <v>8</v>
      </c>
      <c r="G333" s="17">
        <f t="shared" si="2"/>
        <v>14</v>
      </c>
      <c r="H333" s="19"/>
      <c r="I333" s="19">
        <f t="shared" si="3"/>
        <v>0</v>
      </c>
      <c r="J333" s="19"/>
      <c r="K333" s="19">
        <f t="shared" si="11"/>
        <v>0</v>
      </c>
      <c r="L333" s="19"/>
      <c r="M333" s="19">
        <f t="shared" si="5"/>
        <v>0</v>
      </c>
      <c r="N333" s="19"/>
      <c r="O333" s="19">
        <f t="shared" si="6"/>
        <v>0</v>
      </c>
      <c r="P333" s="19" t="str">
        <f t="shared" si="7"/>
        <v>Punkte W 7-9</v>
      </c>
      <c r="Q333" s="19" t="str">
        <f t="shared" si="8"/>
        <v>Noten-Matrix-Mädchen</v>
      </c>
      <c r="R333" s="21">
        <f t="shared" si="9"/>
        <v>0</v>
      </c>
      <c r="S333" s="19" t="str">
        <f>IF(R333=0, "Keine Teilnahme", IFERROR(IF(R333&gt;=VLOOKUP(G333&amp;LOWER(E333), Formeln!$H$2:$K$30, 4, FALSE), "Ehrenurkunde", IF(R333&gt;=VLOOKUP(G333&amp;LOWER(E333), Formeln!$H$2:$K$30, 3, FALSE), "Siegerurkunde", "Teilnehmerurkunde")), "Keine Urkunde"))</f>
        <v>Keine Teilnahme</v>
      </c>
      <c r="T333" s="22" t="str">
        <f t="shared" si="10"/>
        <v>Keine Teilnahme</v>
      </c>
    </row>
    <row r="334" ht="19.5" hidden="1" customHeight="1">
      <c r="A334" s="7" t="str">
        <f>IF(ASV_Daten!A347="","",ASV_Daten!A347)</f>
        <v>R8D</v>
      </c>
      <c r="B334" s="7" t="str">
        <f>IF(ASV_Daten!B347="","",ASV_Daten!B347)</f>
        <v>Schätzle</v>
      </c>
      <c r="C334" s="7" t="str">
        <f>IF(ASV_Daten!C347="","",ASV_Daten!C347)</f>
        <v>Elena-Sophie</v>
      </c>
      <c r="D334" s="7">
        <f>IF(ASV_Daten!D347="","",ASV_Daten!D347)</f>
        <v>2012</v>
      </c>
      <c r="E334" s="7" t="str">
        <f>IF(ASV_Daten!E347="","",ASV_Daten!E347)</f>
        <v>W</v>
      </c>
      <c r="F334" s="8" t="str">
        <f t="shared" si="1"/>
        <v>8</v>
      </c>
      <c r="G334" s="9">
        <f t="shared" si="2"/>
        <v>14</v>
      </c>
      <c r="H334" s="11"/>
      <c r="I334" s="11">
        <f t="shared" si="3"/>
        <v>0</v>
      </c>
      <c r="J334" s="11"/>
      <c r="K334" s="11">
        <f t="shared" si="11"/>
        <v>0</v>
      </c>
      <c r="L334" s="11"/>
      <c r="M334" s="11">
        <f t="shared" si="5"/>
        <v>0</v>
      </c>
      <c r="N334" s="11"/>
      <c r="O334" s="11">
        <f t="shared" si="6"/>
        <v>0</v>
      </c>
      <c r="P334" s="11" t="str">
        <f t="shared" si="7"/>
        <v>Punkte W 7-9</v>
      </c>
      <c r="Q334" s="11" t="str">
        <f t="shared" si="8"/>
        <v>Noten-Matrix-Mädchen</v>
      </c>
      <c r="R334" s="13">
        <f t="shared" si="9"/>
        <v>0</v>
      </c>
      <c r="S334" s="11" t="str">
        <f>IF(R334=0, "Keine Teilnahme", IFERROR(IF(R334&gt;=VLOOKUP(G334&amp;LOWER(E334), Formeln!$H$2:$K$30, 4, FALSE), "Ehrenurkunde", IF(R334&gt;=VLOOKUP(G334&amp;LOWER(E334), Formeln!$H$2:$K$30, 3, FALSE), "Siegerurkunde", "Teilnehmerurkunde")), "Keine Urkunde"))</f>
        <v>Keine Teilnahme</v>
      </c>
      <c r="T334" s="14" t="str">
        <f t="shared" si="10"/>
        <v>Keine Teilnahme</v>
      </c>
    </row>
    <row r="335" ht="19.5" hidden="1" customHeight="1">
      <c r="A335" s="15" t="str">
        <f>IF(ASV_Daten!A340="","",ASV_Daten!A340)</f>
        <v>R8D</v>
      </c>
      <c r="B335" s="15" t="str">
        <f>IF(ASV_Daten!B340="","",ASV_Daten!B340)</f>
        <v>Magidi</v>
      </c>
      <c r="C335" s="15" t="str">
        <f>IF(ASV_Daten!C340="","",ASV_Daten!C340)</f>
        <v>Fabian</v>
      </c>
      <c r="D335" s="15">
        <f>IF(ASV_Daten!D340="","",ASV_Daten!D340)</f>
        <v>2012</v>
      </c>
      <c r="E335" s="15" t="str">
        <f>IF(ASV_Daten!E340="","",ASV_Daten!E340)</f>
        <v>M</v>
      </c>
      <c r="F335" s="16" t="str">
        <f t="shared" si="1"/>
        <v>8</v>
      </c>
      <c r="G335" s="17">
        <f t="shared" si="2"/>
        <v>14</v>
      </c>
      <c r="H335" s="19"/>
      <c r="I335" s="19">
        <f t="shared" si="3"/>
        <v>0</v>
      </c>
      <c r="J335" s="19"/>
      <c r="K335" s="19">
        <f t="shared" si="11"/>
        <v>0</v>
      </c>
      <c r="L335" s="20">
        <v>3.7</v>
      </c>
      <c r="M335" s="19">
        <f t="shared" si="5"/>
        <v>351</v>
      </c>
      <c r="N335" s="20">
        <v>34.0</v>
      </c>
      <c r="O335" s="19">
        <f t="shared" si="6"/>
        <v>314</v>
      </c>
      <c r="P335" s="19" t="str">
        <f t="shared" si="7"/>
        <v>Punkte M 7-9</v>
      </c>
      <c r="Q335" s="19" t="str">
        <f t="shared" si="8"/>
        <v>Noten-Matrix-Jungen</v>
      </c>
      <c r="R335" s="21">
        <f t="shared" si="9"/>
        <v>665</v>
      </c>
      <c r="S335" s="19" t="str">
        <f>IF(R335=0, "Keine Teilnahme", IFERROR(IF(R335&gt;=VLOOKUP(G335&amp;LOWER(E335), Formeln!$H$2:$K$30, 4, FALSE), "Ehrenurkunde", IF(R335&gt;=VLOOKUP(G335&amp;LOWER(E335), Formeln!$H$2:$K$30, 3, FALSE), "Siegerurkunde", "Teilnehmerurkunde")), "Keine Urkunde"))</f>
        <v>Teilnehmerurkunde</v>
      </c>
      <c r="T335" s="22" t="str">
        <f t="shared" si="10"/>
        <v>NOTE</v>
      </c>
    </row>
    <row r="336" ht="19.5" hidden="1" customHeight="1">
      <c r="A336" s="7" t="str">
        <f>IF(ASV_Daten!A332="","",ASV_Daten!A332)</f>
        <v>R8D</v>
      </c>
      <c r="B336" s="7" t="str">
        <f>IF(ASV_Daten!B332="","",ASV_Daten!B332)</f>
        <v>Giacomazzo</v>
      </c>
      <c r="C336" s="7" t="str">
        <f>IF(ASV_Daten!C332="","",ASV_Daten!C332)</f>
        <v>Immanuel</v>
      </c>
      <c r="D336" s="7">
        <f>IF(ASV_Daten!D332="","",ASV_Daten!D332)</f>
        <v>2012</v>
      </c>
      <c r="E336" s="7" t="str">
        <f>IF(ASV_Daten!E332="","",ASV_Daten!E332)</f>
        <v>M</v>
      </c>
      <c r="F336" s="8" t="str">
        <f t="shared" si="1"/>
        <v>8</v>
      </c>
      <c r="G336" s="9">
        <f t="shared" si="2"/>
        <v>14</v>
      </c>
      <c r="H336" s="11"/>
      <c r="I336" s="11">
        <f t="shared" si="3"/>
        <v>0</v>
      </c>
      <c r="J336" s="12">
        <v>11.3</v>
      </c>
      <c r="K336" s="11">
        <f t="shared" si="11"/>
        <v>361</v>
      </c>
      <c r="L336" s="12">
        <v>4.13</v>
      </c>
      <c r="M336" s="11">
        <f t="shared" si="5"/>
        <v>402</v>
      </c>
      <c r="N336" s="12">
        <v>31.0</v>
      </c>
      <c r="O336" s="11">
        <f t="shared" si="6"/>
        <v>292</v>
      </c>
      <c r="P336" s="11" t="str">
        <f t="shared" si="7"/>
        <v>Punkte M 7-9</v>
      </c>
      <c r="Q336" s="11" t="str">
        <f t="shared" si="8"/>
        <v>Noten-Matrix-Jungen</v>
      </c>
      <c r="R336" s="13">
        <f t="shared" si="9"/>
        <v>1055</v>
      </c>
      <c r="S336" s="11" t="str">
        <f>IF(R336=0, "Keine Teilnahme", IFERROR(IF(R336&gt;=VLOOKUP(G336&amp;LOWER(E336), Formeln!$H$2:$K$30, 4, FALSE), "Ehrenurkunde", IF(R336&gt;=VLOOKUP(G336&amp;LOWER(E336), Formeln!$H$2:$K$30, 3, FALSE), "Siegerurkunde", "Teilnehmerurkunde")), "Keine Urkunde"))</f>
        <v>Siegerurkunde</v>
      </c>
      <c r="T336" s="14">
        <f t="shared" si="10"/>
        <v>1.9</v>
      </c>
    </row>
    <row r="337" ht="19.5" hidden="1" customHeight="1">
      <c r="A337" s="15" t="str">
        <f>IF(ASV_Daten!A344="","",ASV_Daten!A344)</f>
        <v>R8D</v>
      </c>
      <c r="B337" s="15" t="str">
        <f>IF(ASV_Daten!B344="","",ASV_Daten!B344)</f>
        <v>Rexhepi</v>
      </c>
      <c r="C337" s="15" t="str">
        <f>IF(ASV_Daten!C344="","",ASV_Daten!C344)</f>
        <v>Ismail</v>
      </c>
      <c r="D337" s="15">
        <f>IF(ASV_Daten!D344="","",ASV_Daten!D344)</f>
        <v>2012</v>
      </c>
      <c r="E337" s="15" t="str">
        <f>IF(ASV_Daten!E344="","",ASV_Daten!E344)</f>
        <v>M</v>
      </c>
      <c r="F337" s="16" t="str">
        <f t="shared" si="1"/>
        <v>8</v>
      </c>
      <c r="G337" s="17">
        <f t="shared" si="2"/>
        <v>14</v>
      </c>
      <c r="H337" s="19"/>
      <c r="I337" s="19">
        <f t="shared" si="3"/>
        <v>0</v>
      </c>
      <c r="J337" s="20">
        <v>13.0</v>
      </c>
      <c r="K337" s="19">
        <f t="shared" si="11"/>
        <v>235</v>
      </c>
      <c r="L337" s="20">
        <v>3.41</v>
      </c>
      <c r="M337" s="19">
        <f t="shared" si="5"/>
        <v>317</v>
      </c>
      <c r="N337" s="20">
        <v>23.0</v>
      </c>
      <c r="O337" s="19">
        <f t="shared" si="6"/>
        <v>230</v>
      </c>
      <c r="P337" s="19" t="str">
        <f t="shared" si="7"/>
        <v>Punkte M 7-9</v>
      </c>
      <c r="Q337" s="19" t="str">
        <f t="shared" si="8"/>
        <v>Noten-Matrix-Jungen</v>
      </c>
      <c r="R337" s="21">
        <f t="shared" si="9"/>
        <v>782</v>
      </c>
      <c r="S337" s="19" t="str">
        <f>IF(R337=0, "Keine Teilnahme", IFERROR(IF(R337&gt;=VLOOKUP(G337&amp;LOWER(E337), Formeln!$H$2:$K$30, 4, FALSE), "Ehrenurkunde", IF(R337&gt;=VLOOKUP(G337&amp;LOWER(E337), Formeln!$H$2:$K$30, 3, FALSE), "Siegerurkunde", "Teilnehmerurkunde")), "Keine Urkunde"))</f>
        <v>Teilnehmerurkunde</v>
      </c>
      <c r="T337" s="22">
        <f t="shared" si="10"/>
        <v>3.5</v>
      </c>
    </row>
    <row r="338" ht="19.5" hidden="1" customHeight="1">
      <c r="A338" s="7" t="str">
        <f>IF(ASV_Daten!A350="","",ASV_Daten!A350)</f>
        <v>R8D</v>
      </c>
      <c r="B338" s="7" t="str">
        <f>IF(ASV_Daten!B350="","",ASV_Daten!B350)</f>
        <v>Schlegel</v>
      </c>
      <c r="C338" s="7" t="str">
        <f>IF(ASV_Daten!C350="","",ASV_Daten!C350)</f>
        <v>Jana</v>
      </c>
      <c r="D338" s="7">
        <f>IF(ASV_Daten!D350="","",ASV_Daten!D350)</f>
        <v>2012</v>
      </c>
      <c r="E338" s="7" t="str">
        <f>IF(ASV_Daten!E350="","",ASV_Daten!E350)</f>
        <v>W</v>
      </c>
      <c r="F338" s="8" t="str">
        <f t="shared" si="1"/>
        <v>8</v>
      </c>
      <c r="G338" s="9">
        <f t="shared" si="2"/>
        <v>14</v>
      </c>
      <c r="H338" s="11"/>
      <c r="I338" s="11">
        <f t="shared" si="3"/>
        <v>0</v>
      </c>
      <c r="J338" s="11"/>
      <c r="K338" s="11">
        <f t="shared" si="11"/>
        <v>0</v>
      </c>
      <c r="L338" s="11"/>
      <c r="M338" s="11">
        <f t="shared" si="5"/>
        <v>0</v>
      </c>
      <c r="N338" s="11"/>
      <c r="O338" s="11">
        <f t="shared" si="6"/>
        <v>0</v>
      </c>
      <c r="P338" s="11" t="str">
        <f t="shared" si="7"/>
        <v>Punkte W 7-9</v>
      </c>
      <c r="Q338" s="11" t="str">
        <f t="shared" si="8"/>
        <v>Noten-Matrix-Mädchen</v>
      </c>
      <c r="R338" s="13">
        <f t="shared" si="9"/>
        <v>0</v>
      </c>
      <c r="S338" s="11" t="str">
        <f>IF(R338=0, "Keine Teilnahme", IFERROR(IF(R338&gt;=VLOOKUP(G338&amp;LOWER(E338), Formeln!$H$2:$K$30, 4, FALSE), "Ehrenurkunde", IF(R338&gt;=VLOOKUP(G338&amp;LOWER(E338), Formeln!$H$2:$K$30, 3, FALSE), "Siegerurkunde", "Teilnehmerurkunde")), "Keine Urkunde"))</f>
        <v>Keine Teilnahme</v>
      </c>
      <c r="T338" s="14" t="str">
        <f t="shared" si="10"/>
        <v>Keine Teilnahme</v>
      </c>
    </row>
    <row r="339" ht="19.5" hidden="1" customHeight="1">
      <c r="A339" s="15" t="str">
        <f>IF(ASV_Daten!A348="","",ASV_Daten!A348)</f>
        <v>R8D</v>
      </c>
      <c r="B339" s="15" t="str">
        <f>IF(ASV_Daten!B348="","",ASV_Daten!B348)</f>
        <v>Schätzle</v>
      </c>
      <c r="C339" s="15" t="str">
        <f>IF(ASV_Daten!C348="","",ASV_Daten!C348)</f>
        <v>Lennard</v>
      </c>
      <c r="D339" s="15">
        <f>IF(ASV_Daten!D348="","",ASV_Daten!D348)</f>
        <v>2012</v>
      </c>
      <c r="E339" s="15" t="str">
        <f>IF(ASV_Daten!E348="","",ASV_Daten!E348)</f>
        <v>M</v>
      </c>
      <c r="F339" s="16" t="str">
        <f t="shared" si="1"/>
        <v>8</v>
      </c>
      <c r="G339" s="17">
        <f t="shared" si="2"/>
        <v>14</v>
      </c>
      <c r="H339" s="19"/>
      <c r="I339" s="19">
        <f t="shared" si="3"/>
        <v>0</v>
      </c>
      <c r="J339" s="19"/>
      <c r="K339" s="19">
        <f t="shared" si="11"/>
        <v>0</v>
      </c>
      <c r="L339" s="20">
        <v>3.69</v>
      </c>
      <c r="M339" s="19">
        <f t="shared" si="5"/>
        <v>351</v>
      </c>
      <c r="N339" s="20">
        <v>31.0</v>
      </c>
      <c r="O339" s="19">
        <f t="shared" si="6"/>
        <v>292</v>
      </c>
      <c r="P339" s="19" t="str">
        <f t="shared" si="7"/>
        <v>Punkte M 7-9</v>
      </c>
      <c r="Q339" s="19" t="str">
        <f t="shared" si="8"/>
        <v>Noten-Matrix-Jungen</v>
      </c>
      <c r="R339" s="21">
        <f t="shared" si="9"/>
        <v>643</v>
      </c>
      <c r="S339" s="19" t="str">
        <f>IF(R339=0, "Keine Teilnahme", IFERROR(IF(R339&gt;=VLOOKUP(G339&amp;LOWER(E339), Formeln!$H$2:$K$30, 4, FALSE), "Ehrenurkunde", IF(R339&gt;=VLOOKUP(G339&amp;LOWER(E339), Formeln!$H$2:$K$30, 3, FALSE), "Siegerurkunde", "Teilnehmerurkunde")), "Keine Urkunde"))</f>
        <v>Teilnehmerurkunde</v>
      </c>
      <c r="T339" s="22" t="str">
        <f t="shared" si="10"/>
        <v>NOTE</v>
      </c>
    </row>
    <row r="340" ht="19.5" hidden="1" customHeight="1">
      <c r="A340" s="7" t="str">
        <f>IF(ASV_Daten!A353="","",ASV_Daten!A353)</f>
        <v>R8D</v>
      </c>
      <c r="B340" s="7" t="str">
        <f>IF(ASV_Daten!B353="","",ASV_Daten!B353)</f>
        <v>Wehrle</v>
      </c>
      <c r="C340" s="7" t="str">
        <f>IF(ASV_Daten!C353="","",ASV_Daten!C353)</f>
        <v>Levin</v>
      </c>
      <c r="D340" s="7">
        <f>IF(ASV_Daten!D353="","",ASV_Daten!D353)</f>
        <v>2012</v>
      </c>
      <c r="E340" s="7" t="str">
        <f>IF(ASV_Daten!E353="","",ASV_Daten!E353)</f>
        <v>M</v>
      </c>
      <c r="F340" s="8" t="str">
        <f t="shared" si="1"/>
        <v>8</v>
      </c>
      <c r="G340" s="9">
        <f t="shared" si="2"/>
        <v>14</v>
      </c>
      <c r="H340" s="11"/>
      <c r="I340" s="11">
        <f t="shared" si="3"/>
        <v>0</v>
      </c>
      <c r="J340" s="11"/>
      <c r="K340" s="11">
        <f t="shared" si="11"/>
        <v>0</v>
      </c>
      <c r="L340" s="12">
        <v>3.61</v>
      </c>
      <c r="M340" s="11">
        <f t="shared" si="5"/>
        <v>342</v>
      </c>
      <c r="N340" s="12">
        <v>33.0</v>
      </c>
      <c r="O340" s="11">
        <f t="shared" si="6"/>
        <v>307</v>
      </c>
      <c r="P340" s="11" t="str">
        <f t="shared" si="7"/>
        <v>Punkte M 7-9</v>
      </c>
      <c r="Q340" s="11" t="str">
        <f t="shared" si="8"/>
        <v>Noten-Matrix-Jungen</v>
      </c>
      <c r="R340" s="13">
        <f t="shared" si="9"/>
        <v>649</v>
      </c>
      <c r="S340" s="11" t="str">
        <f>IF(R340=0, "Keine Teilnahme", IFERROR(IF(R340&gt;=VLOOKUP(G340&amp;LOWER(E340), Formeln!$H$2:$K$30, 4, FALSE), "Ehrenurkunde", IF(R340&gt;=VLOOKUP(G340&amp;LOWER(E340), Formeln!$H$2:$K$30, 3, FALSE), "Siegerurkunde", "Teilnehmerurkunde")), "Keine Urkunde"))</f>
        <v>Teilnehmerurkunde</v>
      </c>
      <c r="T340" s="14" t="str">
        <f t="shared" si="10"/>
        <v>NOTE</v>
      </c>
    </row>
    <row r="341" ht="19.5" hidden="1" customHeight="1">
      <c r="A341" s="15" t="str">
        <f>IF(ASV_Daten!A335="","",ASV_Daten!A335)</f>
        <v>R8D</v>
      </c>
      <c r="B341" s="15" t="str">
        <f>IF(ASV_Daten!B335="","",ASV_Daten!B335)</f>
        <v>Karimi</v>
      </c>
      <c r="C341" s="15" t="str">
        <f>IF(ASV_Daten!C335="","",ASV_Daten!C335)</f>
        <v>Lida</v>
      </c>
      <c r="D341" s="15">
        <f>IF(ASV_Daten!D335="","",ASV_Daten!D335)</f>
        <v>2012</v>
      </c>
      <c r="E341" s="15" t="str">
        <f>IF(ASV_Daten!E335="","",ASV_Daten!E335)</f>
        <v>W</v>
      </c>
      <c r="F341" s="16" t="str">
        <f t="shared" si="1"/>
        <v>8</v>
      </c>
      <c r="G341" s="17">
        <f t="shared" si="2"/>
        <v>14</v>
      </c>
      <c r="H341" s="19"/>
      <c r="I341" s="19">
        <f t="shared" si="3"/>
        <v>0</v>
      </c>
      <c r="J341" s="20">
        <v>14.3</v>
      </c>
      <c r="K341" s="19">
        <f t="shared" si="11"/>
        <v>175</v>
      </c>
      <c r="L341" s="20">
        <v>2.5</v>
      </c>
      <c r="M341" s="19">
        <f t="shared" si="5"/>
        <v>232</v>
      </c>
      <c r="N341" s="20">
        <v>11.0</v>
      </c>
      <c r="O341" s="19">
        <f t="shared" si="6"/>
        <v>183</v>
      </c>
      <c r="P341" s="19" t="str">
        <f t="shared" si="7"/>
        <v>Punkte W 7-9</v>
      </c>
      <c r="Q341" s="19" t="str">
        <f t="shared" si="8"/>
        <v>Noten-Matrix-Mädchen</v>
      </c>
      <c r="R341" s="21">
        <f t="shared" si="9"/>
        <v>590</v>
      </c>
      <c r="S341" s="19" t="str">
        <f>IF(R341=0, "Keine Teilnahme", IFERROR(IF(R341&gt;=VLOOKUP(G341&amp;LOWER(E341), Formeln!$H$2:$K$30, 4, FALSE), "Ehrenurkunde", IF(R341&gt;=VLOOKUP(G341&amp;LOWER(E341), Formeln!$H$2:$K$30, 3, FALSE), "Siegerurkunde", "Teilnehmerurkunde")), "Keine Urkunde"))</f>
        <v>Teilnehmerurkunde</v>
      </c>
      <c r="T341" s="22" t="str">
        <f t="shared" si="10"/>
        <v>NOTE</v>
      </c>
    </row>
    <row r="342" ht="19.5" hidden="1" customHeight="1">
      <c r="A342" s="7" t="str">
        <f>IF(ASV_Daten!A345="","",ASV_Daten!A345)</f>
        <v>R8D</v>
      </c>
      <c r="B342" s="7" t="str">
        <f>IF(ASV_Daten!B345="","",ASV_Daten!B345)</f>
        <v>Röhrig</v>
      </c>
      <c r="C342" s="7" t="str">
        <f>IF(ASV_Daten!C345="","",ASV_Daten!C345)</f>
        <v>Lilly</v>
      </c>
      <c r="D342" s="7">
        <f>IF(ASV_Daten!D345="","",ASV_Daten!D345)</f>
        <v>2011</v>
      </c>
      <c r="E342" s="7" t="str">
        <f>IF(ASV_Daten!E345="","",ASV_Daten!E345)</f>
        <v>W</v>
      </c>
      <c r="F342" s="8" t="str">
        <f t="shared" si="1"/>
        <v>8</v>
      </c>
      <c r="G342" s="9">
        <f t="shared" si="2"/>
        <v>15</v>
      </c>
      <c r="H342" s="11"/>
      <c r="I342" s="11">
        <f t="shared" si="3"/>
        <v>0</v>
      </c>
      <c r="J342" s="11"/>
      <c r="K342" s="11">
        <f t="shared" si="11"/>
        <v>0</v>
      </c>
      <c r="L342" s="11"/>
      <c r="M342" s="11">
        <f t="shared" si="5"/>
        <v>0</v>
      </c>
      <c r="N342" s="11"/>
      <c r="O342" s="11">
        <f t="shared" si="6"/>
        <v>0</v>
      </c>
      <c r="P342" s="11" t="str">
        <f t="shared" si="7"/>
        <v>Punkte W 7-9</v>
      </c>
      <c r="Q342" s="11" t="str">
        <f t="shared" si="8"/>
        <v>Noten-Matrix-Mädchen</v>
      </c>
      <c r="R342" s="13">
        <f t="shared" si="9"/>
        <v>0</v>
      </c>
      <c r="S342" s="11" t="str">
        <f>IF(R342=0, "Keine Teilnahme", IFERROR(IF(R342&gt;=VLOOKUP(G342&amp;LOWER(E342), Formeln!$H$2:$K$30, 4, FALSE), "Ehrenurkunde", IF(R342&gt;=VLOOKUP(G342&amp;LOWER(E342), Formeln!$H$2:$K$30, 3, FALSE), "Siegerurkunde", "Teilnehmerurkunde")), "Keine Urkunde"))</f>
        <v>Keine Teilnahme</v>
      </c>
      <c r="T342" s="14" t="str">
        <f t="shared" si="10"/>
        <v>Keine Teilnahme</v>
      </c>
    </row>
    <row r="343" ht="19.5" hidden="1" customHeight="1">
      <c r="A343" s="15" t="str">
        <f>IF(ASV_Daten!A338="","",ASV_Daten!A338)</f>
        <v>R8D</v>
      </c>
      <c r="B343" s="15" t="str">
        <f>IF(ASV_Daten!B338="","",ASV_Daten!B338)</f>
        <v>Kranendonk</v>
      </c>
      <c r="C343" s="15" t="str">
        <f>IF(ASV_Daten!C338="","",ASV_Daten!C338)</f>
        <v>Luca</v>
      </c>
      <c r="D343" s="15">
        <f>IF(ASV_Daten!D338="","",ASV_Daten!D338)</f>
        <v>2012</v>
      </c>
      <c r="E343" s="15" t="str">
        <f>IF(ASV_Daten!E338="","",ASV_Daten!E338)</f>
        <v>M</v>
      </c>
      <c r="F343" s="16" t="str">
        <f t="shared" si="1"/>
        <v>8</v>
      </c>
      <c r="G343" s="17">
        <f t="shared" si="2"/>
        <v>14</v>
      </c>
      <c r="H343" s="19"/>
      <c r="I343" s="19">
        <f t="shared" si="3"/>
        <v>0</v>
      </c>
      <c r="J343" s="19"/>
      <c r="K343" s="19">
        <f t="shared" si="11"/>
        <v>0</v>
      </c>
      <c r="L343" s="19"/>
      <c r="M343" s="19">
        <f t="shared" si="5"/>
        <v>0</v>
      </c>
      <c r="N343" s="20">
        <v>25.0</v>
      </c>
      <c r="O343" s="19">
        <f t="shared" si="6"/>
        <v>247</v>
      </c>
      <c r="P343" s="19" t="str">
        <f t="shared" si="7"/>
        <v>Punkte M 7-9</v>
      </c>
      <c r="Q343" s="19" t="str">
        <f t="shared" si="8"/>
        <v>Noten-Matrix-Jungen</v>
      </c>
      <c r="R343" s="21">
        <f t="shared" si="9"/>
        <v>247</v>
      </c>
      <c r="S343" s="19" t="str">
        <f>IF(R343=0, "Keine Teilnahme", IFERROR(IF(R343&gt;=VLOOKUP(G343&amp;LOWER(E343), Formeln!$H$2:$K$30, 4, FALSE), "Ehrenurkunde", IF(R343&gt;=VLOOKUP(G343&amp;LOWER(E343), Formeln!$H$2:$K$30, 3, FALSE), "Siegerurkunde", "Teilnehmerurkunde")), "Keine Urkunde"))</f>
        <v>Teilnehmerurkunde</v>
      </c>
      <c r="T343" s="22" t="str">
        <f t="shared" si="10"/>
        <v>NOTE</v>
      </c>
    </row>
    <row r="344" ht="19.5" hidden="1" customHeight="1">
      <c r="A344" s="7" t="str">
        <f>IF(ASV_Daten!A328="","",ASV_Daten!A328)</f>
        <v>R8D</v>
      </c>
      <c r="B344" s="7" t="str">
        <f>IF(ASV_Daten!B328="","",ASV_Daten!B328)</f>
        <v>Dalievskyi</v>
      </c>
      <c r="C344" s="7" t="str">
        <f>IF(ASV_Daten!C328="","",ASV_Daten!C328)</f>
        <v>Makar</v>
      </c>
      <c r="D344" s="7">
        <f>IF(ASV_Daten!D328="","",ASV_Daten!D328)</f>
        <v>2010</v>
      </c>
      <c r="E344" s="7" t="str">
        <f>IF(ASV_Daten!E328="","",ASV_Daten!E328)</f>
        <v>M</v>
      </c>
      <c r="F344" s="8" t="str">
        <f t="shared" si="1"/>
        <v>8</v>
      </c>
      <c r="G344" s="9">
        <f t="shared" si="2"/>
        <v>16</v>
      </c>
      <c r="H344" s="11"/>
      <c r="I344" s="11">
        <f t="shared" si="3"/>
        <v>0</v>
      </c>
      <c r="J344" s="11"/>
      <c r="K344" s="11">
        <f t="shared" si="11"/>
        <v>0</v>
      </c>
      <c r="L344" s="11"/>
      <c r="M344" s="11">
        <f t="shared" si="5"/>
        <v>0</v>
      </c>
      <c r="N344" s="11"/>
      <c r="O344" s="11">
        <f t="shared" si="6"/>
        <v>0</v>
      </c>
      <c r="P344" s="11" t="str">
        <f t="shared" si="7"/>
        <v>Punkte M 7-9</v>
      </c>
      <c r="Q344" s="11" t="str">
        <f t="shared" si="8"/>
        <v>Noten-Matrix-Jungen</v>
      </c>
      <c r="R344" s="13">
        <f t="shared" si="9"/>
        <v>0</v>
      </c>
      <c r="S344" s="11" t="str">
        <f>IF(R344=0, "Keine Teilnahme", IFERROR(IF(R344&gt;=VLOOKUP(G344&amp;LOWER(E344), Formeln!$H$2:$K$30, 4, FALSE), "Ehrenurkunde", IF(R344&gt;=VLOOKUP(G344&amp;LOWER(E344), Formeln!$H$2:$K$30, 3, FALSE), "Siegerurkunde", "Teilnehmerurkunde")), "Keine Urkunde"))</f>
        <v>Keine Teilnahme</v>
      </c>
      <c r="T344" s="14" t="str">
        <f t="shared" si="10"/>
        <v>Keine Teilnahme</v>
      </c>
    </row>
    <row r="345" ht="19.5" hidden="1" customHeight="1">
      <c r="A345" s="15" t="str">
        <f>IF(ASV_Daten!A352="","",ASV_Daten!A352)</f>
        <v>R8D</v>
      </c>
      <c r="B345" s="15" t="str">
        <f>IF(ASV_Daten!B352="","",ASV_Daten!B352)</f>
        <v>Tritschler</v>
      </c>
      <c r="C345" s="15" t="str">
        <f>IF(ASV_Daten!C352="","",ASV_Daten!C352)</f>
        <v>Marlon</v>
      </c>
      <c r="D345" s="15">
        <f>IF(ASV_Daten!D352="","",ASV_Daten!D352)</f>
        <v>2011</v>
      </c>
      <c r="E345" s="15" t="str">
        <f>IF(ASV_Daten!E352="","",ASV_Daten!E352)</f>
        <v>M</v>
      </c>
      <c r="F345" s="16" t="str">
        <f t="shared" si="1"/>
        <v>8</v>
      </c>
      <c r="G345" s="17">
        <f t="shared" si="2"/>
        <v>15</v>
      </c>
      <c r="H345" s="19"/>
      <c r="I345" s="19">
        <f t="shared" si="3"/>
        <v>0</v>
      </c>
      <c r="J345" s="19"/>
      <c r="K345" s="19">
        <f t="shared" si="11"/>
        <v>0</v>
      </c>
      <c r="L345" s="19"/>
      <c r="M345" s="19">
        <f t="shared" si="5"/>
        <v>0</v>
      </c>
      <c r="N345" s="19"/>
      <c r="O345" s="19">
        <f t="shared" si="6"/>
        <v>0</v>
      </c>
      <c r="P345" s="19" t="str">
        <f t="shared" si="7"/>
        <v>Punkte M 7-9</v>
      </c>
      <c r="Q345" s="19" t="str">
        <f t="shared" si="8"/>
        <v>Noten-Matrix-Jungen</v>
      </c>
      <c r="R345" s="21">
        <f t="shared" si="9"/>
        <v>0</v>
      </c>
      <c r="S345" s="19" t="str">
        <f>IF(R345=0, "Keine Teilnahme", IFERROR(IF(R345&gt;=VLOOKUP(G345&amp;LOWER(E345), Formeln!$H$2:$K$30, 4, FALSE), "Ehrenurkunde", IF(R345&gt;=VLOOKUP(G345&amp;LOWER(E345), Formeln!$H$2:$K$30, 3, FALSE), "Siegerurkunde", "Teilnehmerurkunde")), "Keine Urkunde"))</f>
        <v>Keine Teilnahme</v>
      </c>
      <c r="T345" s="22" t="str">
        <f t="shared" si="10"/>
        <v>Keine Teilnahme</v>
      </c>
    </row>
    <row r="346" ht="19.5" hidden="1" customHeight="1">
      <c r="A346" s="7" t="str">
        <f>IF(ASV_Daten!A342="","",ASV_Daten!A342)</f>
        <v>R8D</v>
      </c>
      <c r="B346" s="7" t="str">
        <f>IF(ASV_Daten!B342="","",ASV_Daten!B342)</f>
        <v>Müller</v>
      </c>
      <c r="C346" s="7" t="str">
        <f>IF(ASV_Daten!C342="","",ASV_Daten!C342)</f>
        <v>Miko</v>
      </c>
      <c r="D346" s="7">
        <f>IF(ASV_Daten!D342="","",ASV_Daten!D342)</f>
        <v>2012</v>
      </c>
      <c r="E346" s="7" t="str">
        <f>IF(ASV_Daten!E342="","",ASV_Daten!E342)</f>
        <v>M</v>
      </c>
      <c r="F346" s="8" t="str">
        <f t="shared" si="1"/>
        <v>8</v>
      </c>
      <c r="G346" s="9">
        <f t="shared" si="2"/>
        <v>14</v>
      </c>
      <c r="H346" s="11"/>
      <c r="I346" s="11">
        <f t="shared" si="3"/>
        <v>0</v>
      </c>
      <c r="J346" s="12">
        <v>11.2</v>
      </c>
      <c r="K346" s="11">
        <f t="shared" si="11"/>
        <v>369</v>
      </c>
      <c r="L346" s="12">
        <v>3.81</v>
      </c>
      <c r="M346" s="11">
        <f t="shared" si="5"/>
        <v>366</v>
      </c>
      <c r="N346" s="12">
        <v>24.0</v>
      </c>
      <c r="O346" s="11">
        <f t="shared" si="6"/>
        <v>238</v>
      </c>
      <c r="P346" s="11" t="str">
        <f t="shared" si="7"/>
        <v>Punkte M 7-9</v>
      </c>
      <c r="Q346" s="11" t="str">
        <f t="shared" si="8"/>
        <v>Noten-Matrix-Jungen</v>
      </c>
      <c r="R346" s="13">
        <f t="shared" si="9"/>
        <v>973</v>
      </c>
      <c r="S346" s="11" t="str">
        <f>IF(R346=0, "Keine Teilnahme", IFERROR(IF(R346&gt;=VLOOKUP(G346&amp;LOWER(E346), Formeln!$H$2:$K$30, 4, FALSE), "Ehrenurkunde", IF(R346&gt;=VLOOKUP(G346&amp;LOWER(E346), Formeln!$H$2:$K$30, 3, FALSE), "Siegerurkunde", "Teilnehmerurkunde")), "Keine Urkunde"))</f>
        <v>Siegerurkunde</v>
      </c>
      <c r="T346" s="14">
        <f t="shared" si="10"/>
        <v>2.3</v>
      </c>
    </row>
    <row r="347" ht="19.5" hidden="1" customHeight="1">
      <c r="A347" s="15" t="str">
        <f>IF(ASV_Daten!A330="","",ASV_Daten!A330)</f>
        <v>R8D</v>
      </c>
      <c r="B347" s="15" t="str">
        <f>IF(ASV_Daten!B330="","",ASV_Daten!B330)</f>
        <v>Ganter</v>
      </c>
      <c r="C347" s="15" t="str">
        <f>IF(ASV_Daten!C330="","",ASV_Daten!C330)</f>
        <v>Nadine</v>
      </c>
      <c r="D347" s="15">
        <f>IF(ASV_Daten!D330="","",ASV_Daten!D330)</f>
        <v>2012</v>
      </c>
      <c r="E347" s="15" t="str">
        <f>IF(ASV_Daten!E330="","",ASV_Daten!E330)</f>
        <v>W</v>
      </c>
      <c r="F347" s="16" t="str">
        <f t="shared" si="1"/>
        <v>8</v>
      </c>
      <c r="G347" s="17">
        <f t="shared" si="2"/>
        <v>14</v>
      </c>
      <c r="H347" s="19"/>
      <c r="I347" s="19">
        <f t="shared" si="3"/>
        <v>0</v>
      </c>
      <c r="J347" s="20">
        <v>11.6</v>
      </c>
      <c r="K347" s="19">
        <f t="shared" si="11"/>
        <v>354</v>
      </c>
      <c r="L347" s="20">
        <v>4.09</v>
      </c>
      <c r="M347" s="19">
        <f t="shared" si="5"/>
        <v>446</v>
      </c>
      <c r="N347" s="20">
        <v>20.5</v>
      </c>
      <c r="O347" s="19">
        <f t="shared" si="6"/>
        <v>299</v>
      </c>
      <c r="P347" s="19" t="str">
        <f t="shared" si="7"/>
        <v>Punkte W 7-9</v>
      </c>
      <c r="Q347" s="19" t="str">
        <f t="shared" si="8"/>
        <v>Noten-Matrix-Mädchen</v>
      </c>
      <c r="R347" s="21">
        <f t="shared" si="9"/>
        <v>1099</v>
      </c>
      <c r="S347" s="19" t="str">
        <f>IF(R347=0, "Keine Teilnahme", IFERROR(IF(R347&gt;=VLOOKUP(G347&amp;LOWER(E347), Formeln!$H$2:$K$30, 4, FALSE), "Ehrenurkunde", IF(R347&gt;=VLOOKUP(G347&amp;LOWER(E347), Formeln!$H$2:$K$30, 3, FALSE), "Siegerurkunde", "Teilnehmerurkunde")), "Keine Urkunde"))</f>
        <v>Ehrenurkunde</v>
      </c>
      <c r="T347" s="22">
        <f t="shared" si="10"/>
        <v>1.3</v>
      </c>
    </row>
    <row r="348" ht="19.5" hidden="1" customHeight="1">
      <c r="A348" s="7" t="str">
        <f>IF(ASV_Daten!A349="","",ASV_Daten!A349)</f>
        <v>R8D</v>
      </c>
      <c r="B348" s="7" t="str">
        <f>IF(ASV_Daten!B349="","",ASV_Daten!B349)</f>
        <v>Scherer</v>
      </c>
      <c r="C348" s="7" t="str">
        <f>IF(ASV_Daten!C349="","",ASV_Daten!C349)</f>
        <v>Nika</v>
      </c>
      <c r="D348" s="7">
        <f>IF(ASV_Daten!D349="","",ASV_Daten!D349)</f>
        <v>2012</v>
      </c>
      <c r="E348" s="7" t="str">
        <f>IF(ASV_Daten!E349="","",ASV_Daten!E349)</f>
        <v>W</v>
      </c>
      <c r="F348" s="8" t="str">
        <f t="shared" si="1"/>
        <v>8</v>
      </c>
      <c r="G348" s="9">
        <f t="shared" si="2"/>
        <v>14</v>
      </c>
      <c r="H348" s="11"/>
      <c r="I348" s="11">
        <f t="shared" si="3"/>
        <v>0</v>
      </c>
      <c r="J348" s="11"/>
      <c r="K348" s="11">
        <f t="shared" si="11"/>
        <v>0</v>
      </c>
      <c r="L348" s="11"/>
      <c r="M348" s="11">
        <f t="shared" si="5"/>
        <v>0</v>
      </c>
      <c r="N348" s="11"/>
      <c r="O348" s="11">
        <f t="shared" si="6"/>
        <v>0</v>
      </c>
      <c r="P348" s="11" t="str">
        <f t="shared" si="7"/>
        <v>Punkte W 7-9</v>
      </c>
      <c r="Q348" s="11" t="str">
        <f t="shared" si="8"/>
        <v>Noten-Matrix-Mädchen</v>
      </c>
      <c r="R348" s="13">
        <f t="shared" si="9"/>
        <v>0</v>
      </c>
      <c r="S348" s="11" t="str">
        <f>IF(R348=0, "Keine Teilnahme", IFERROR(IF(R348&gt;=VLOOKUP(G348&amp;LOWER(E348), Formeln!$H$2:$K$30, 4, FALSE), "Ehrenurkunde", IF(R348&gt;=VLOOKUP(G348&amp;LOWER(E348), Formeln!$H$2:$K$30, 3, FALSE), "Siegerurkunde", "Teilnehmerurkunde")), "Keine Urkunde"))</f>
        <v>Keine Teilnahme</v>
      </c>
      <c r="T348" s="14" t="str">
        <f t="shared" si="10"/>
        <v>Keine Teilnahme</v>
      </c>
    </row>
    <row r="349" ht="19.5" hidden="1" customHeight="1">
      <c r="A349" s="15" t="str">
        <f>IF(ASV_Daten!A336="","",ASV_Daten!A336)</f>
        <v>R8D</v>
      </c>
      <c r="B349" s="15" t="str">
        <f>IF(ASV_Daten!B336="","",ASV_Daten!B336)</f>
        <v>Klein</v>
      </c>
      <c r="C349" s="15" t="str">
        <f>IF(ASV_Daten!C336="","",ASV_Daten!C336)</f>
        <v>Nikita</v>
      </c>
      <c r="D349" s="15">
        <f>IF(ASV_Daten!D336="","",ASV_Daten!D336)</f>
        <v>2012</v>
      </c>
      <c r="E349" s="15" t="str">
        <f>IF(ASV_Daten!E336="","",ASV_Daten!E336)</f>
        <v>M</v>
      </c>
      <c r="F349" s="16" t="str">
        <f t="shared" si="1"/>
        <v>8</v>
      </c>
      <c r="G349" s="17">
        <f t="shared" si="2"/>
        <v>14</v>
      </c>
      <c r="H349" s="19"/>
      <c r="I349" s="19">
        <f t="shared" si="3"/>
        <v>0</v>
      </c>
      <c r="J349" s="19"/>
      <c r="K349" s="19">
        <f t="shared" si="11"/>
        <v>0</v>
      </c>
      <c r="L349" s="20">
        <v>3.41</v>
      </c>
      <c r="M349" s="19">
        <f t="shared" si="5"/>
        <v>317</v>
      </c>
      <c r="N349" s="20">
        <v>29.0</v>
      </c>
      <c r="O349" s="19">
        <f t="shared" si="6"/>
        <v>278</v>
      </c>
      <c r="P349" s="19" t="str">
        <f t="shared" si="7"/>
        <v>Punkte M 7-9</v>
      </c>
      <c r="Q349" s="19" t="str">
        <f t="shared" si="8"/>
        <v>Noten-Matrix-Jungen</v>
      </c>
      <c r="R349" s="21">
        <f t="shared" si="9"/>
        <v>595</v>
      </c>
      <c r="S349" s="19" t="str">
        <f>IF(R349=0, "Keine Teilnahme", IFERROR(IF(R349&gt;=VLOOKUP(G349&amp;LOWER(E349), Formeln!$H$2:$K$30, 4, FALSE), "Ehrenurkunde", IF(R349&gt;=VLOOKUP(G349&amp;LOWER(E349), Formeln!$H$2:$K$30, 3, FALSE), "Siegerurkunde", "Teilnehmerurkunde")), "Keine Urkunde"))</f>
        <v>Teilnehmerurkunde</v>
      </c>
      <c r="T349" s="22" t="str">
        <f t="shared" si="10"/>
        <v>NOTE</v>
      </c>
    </row>
    <row r="350" ht="19.5" hidden="1" customHeight="1">
      <c r="A350" s="7" t="str">
        <f>IF(ASV_Daten!A333="","",ASV_Daten!A333)</f>
        <v>R8D</v>
      </c>
      <c r="B350" s="7" t="str">
        <f>IF(ASV_Daten!B333="","",ASV_Daten!B333)</f>
        <v>Gottwald</v>
      </c>
      <c r="C350" s="7" t="str">
        <f>IF(ASV_Daten!C333="","",ASV_Daten!C333)</f>
        <v>Robert</v>
      </c>
      <c r="D350" s="7">
        <f>IF(ASV_Daten!D333="","",ASV_Daten!D333)</f>
        <v>2012</v>
      </c>
      <c r="E350" s="7" t="str">
        <f>IF(ASV_Daten!E333="","",ASV_Daten!E333)</f>
        <v>M</v>
      </c>
      <c r="F350" s="8" t="str">
        <f t="shared" si="1"/>
        <v>8</v>
      </c>
      <c r="G350" s="9">
        <f t="shared" si="2"/>
        <v>14</v>
      </c>
      <c r="H350" s="11"/>
      <c r="I350" s="11">
        <f t="shared" si="3"/>
        <v>0</v>
      </c>
      <c r="J350" s="12">
        <v>10.6</v>
      </c>
      <c r="K350" s="11">
        <f t="shared" si="11"/>
        <v>424</v>
      </c>
      <c r="L350" s="12">
        <v>3.89</v>
      </c>
      <c r="M350" s="11">
        <f t="shared" si="5"/>
        <v>375</v>
      </c>
      <c r="N350" s="12">
        <v>32.0</v>
      </c>
      <c r="O350" s="11">
        <f t="shared" si="6"/>
        <v>300</v>
      </c>
      <c r="P350" s="11" t="str">
        <f t="shared" si="7"/>
        <v>Punkte M 7-9</v>
      </c>
      <c r="Q350" s="11" t="str">
        <f t="shared" si="8"/>
        <v>Noten-Matrix-Jungen</v>
      </c>
      <c r="R350" s="13">
        <f t="shared" si="9"/>
        <v>1099</v>
      </c>
      <c r="S350" s="11" t="str">
        <f>IF(R350=0, "Keine Teilnahme", IFERROR(IF(R350&gt;=VLOOKUP(G350&amp;LOWER(E350), Formeln!$H$2:$K$30, 4, FALSE), "Ehrenurkunde", IF(R350&gt;=VLOOKUP(G350&amp;LOWER(E350), Formeln!$H$2:$K$30, 3, FALSE), "Siegerurkunde", "Teilnehmerurkunde")), "Keine Urkunde"))</f>
        <v>Siegerurkunde</v>
      </c>
      <c r="T350" s="14">
        <f t="shared" si="10"/>
        <v>1.7</v>
      </c>
    </row>
    <row r="351" ht="19.5" hidden="1" customHeight="1">
      <c r="A351" s="15" t="str">
        <f>IF(ASV_Daten!A339="","",ASV_Daten!A339)</f>
        <v>R8D</v>
      </c>
      <c r="B351" s="15" t="str">
        <f>IF(ASV_Daten!B339="","",ASV_Daten!B339)</f>
        <v>Lammel</v>
      </c>
      <c r="C351" s="15" t="str">
        <f>IF(ASV_Daten!C339="","",ASV_Daten!C339)</f>
        <v>Sarah</v>
      </c>
      <c r="D351" s="15">
        <f>IF(ASV_Daten!D339="","",ASV_Daten!D339)</f>
        <v>2012</v>
      </c>
      <c r="E351" s="15" t="str">
        <f>IF(ASV_Daten!E339="","",ASV_Daten!E339)</f>
        <v>W</v>
      </c>
      <c r="F351" s="16" t="str">
        <f t="shared" si="1"/>
        <v>8</v>
      </c>
      <c r="G351" s="17">
        <f t="shared" si="2"/>
        <v>14</v>
      </c>
      <c r="H351" s="25"/>
      <c r="I351" s="19">
        <f t="shared" si="3"/>
        <v>0</v>
      </c>
      <c r="J351" s="19"/>
      <c r="K351" s="19">
        <f t="shared" si="11"/>
        <v>0</v>
      </c>
      <c r="L351" s="19"/>
      <c r="M351" s="19">
        <f t="shared" si="5"/>
        <v>0</v>
      </c>
      <c r="N351" s="19"/>
      <c r="O351" s="19">
        <f t="shared" si="6"/>
        <v>0</v>
      </c>
      <c r="P351" s="19" t="str">
        <f t="shared" si="7"/>
        <v>Punkte W 7-9</v>
      </c>
      <c r="Q351" s="19" t="str">
        <f t="shared" si="8"/>
        <v>Noten-Matrix-Mädchen</v>
      </c>
      <c r="R351" s="21">
        <f t="shared" si="9"/>
        <v>0</v>
      </c>
      <c r="S351" s="19" t="str">
        <f>IF(R351=0, "Keine Teilnahme", IFERROR(IF(R351&gt;=VLOOKUP(G351&amp;LOWER(E351), Formeln!$H$2:$K$30, 4, FALSE), "Ehrenurkunde", IF(R351&gt;=VLOOKUP(G351&amp;LOWER(E351), Formeln!$H$2:$K$30, 3, FALSE), "Siegerurkunde", "Teilnehmerurkunde")), "Keine Urkunde"))</f>
        <v>Keine Teilnahme</v>
      </c>
      <c r="T351" s="22" t="str">
        <f t="shared" si="10"/>
        <v>Keine Teilnahme</v>
      </c>
    </row>
    <row r="352" ht="19.5" hidden="1" customHeight="1">
      <c r="A352" s="7" t="str">
        <f>IF(ASV_Daten!A331="","",ASV_Daten!A331)</f>
        <v>R8D</v>
      </c>
      <c r="B352" s="7" t="str">
        <f>IF(ASV_Daten!B331="","",ASV_Daten!B331)</f>
        <v>Gherghel</v>
      </c>
      <c r="C352" s="7" t="str">
        <f>IF(ASV_Daten!C331="","",ASV_Daten!C331)</f>
        <v>Sebastian-Florian</v>
      </c>
      <c r="D352" s="7">
        <f>IF(ASV_Daten!D331="","",ASV_Daten!D331)</f>
        <v>2010</v>
      </c>
      <c r="E352" s="7" t="str">
        <f>IF(ASV_Daten!E331="","",ASV_Daten!E331)</f>
        <v>M</v>
      </c>
      <c r="F352" s="8" t="str">
        <f t="shared" si="1"/>
        <v>8</v>
      </c>
      <c r="G352" s="9">
        <f t="shared" si="2"/>
        <v>16</v>
      </c>
      <c r="H352" s="11"/>
      <c r="I352" s="11">
        <f t="shared" si="3"/>
        <v>0</v>
      </c>
      <c r="J352" s="11"/>
      <c r="K352" s="11">
        <f t="shared" si="11"/>
        <v>0</v>
      </c>
      <c r="L352" s="11"/>
      <c r="M352" s="11">
        <f t="shared" si="5"/>
        <v>0</v>
      </c>
      <c r="N352" s="11"/>
      <c r="O352" s="11">
        <f t="shared" si="6"/>
        <v>0</v>
      </c>
      <c r="P352" s="11" t="str">
        <f t="shared" si="7"/>
        <v>Punkte M 7-9</v>
      </c>
      <c r="Q352" s="11" t="str">
        <f t="shared" si="8"/>
        <v>Noten-Matrix-Jungen</v>
      </c>
      <c r="R352" s="13">
        <f t="shared" si="9"/>
        <v>0</v>
      </c>
      <c r="S352" s="11" t="str">
        <f>IF(R352=0, "Keine Teilnahme", IFERROR(IF(R352&gt;=VLOOKUP(G352&amp;LOWER(E352), Formeln!$H$2:$K$30, 4, FALSE), "Ehrenurkunde", IF(R352&gt;=VLOOKUP(G352&amp;LOWER(E352), Formeln!$H$2:$K$30, 3, FALSE), "Siegerurkunde", "Teilnehmerurkunde")), "Keine Urkunde"))</f>
        <v>Keine Teilnahme</v>
      </c>
      <c r="T352" s="14" t="str">
        <f t="shared" si="10"/>
        <v>Keine Teilnahme</v>
      </c>
    </row>
    <row r="353" ht="19.5" hidden="1" customHeight="1">
      <c r="A353" s="15" t="str">
        <f>IF(ASV_Daten!A343="","",ASV_Daten!A343)</f>
        <v>R8D</v>
      </c>
      <c r="B353" s="15" t="str">
        <f>IF(ASV_Daten!B343="","",ASV_Daten!B343)</f>
        <v>Mykytiuk</v>
      </c>
      <c r="C353" s="15" t="str">
        <f>IF(ASV_Daten!C343="","",ASV_Daten!C343)</f>
        <v>Vasyl</v>
      </c>
      <c r="D353" s="15">
        <f>IF(ASV_Daten!D343="","",ASV_Daten!D343)</f>
        <v>2011</v>
      </c>
      <c r="E353" s="15" t="str">
        <f>IF(ASV_Daten!E343="","",ASV_Daten!E343)</f>
        <v>M</v>
      </c>
      <c r="F353" s="16" t="str">
        <f t="shared" si="1"/>
        <v>8</v>
      </c>
      <c r="G353" s="17">
        <f t="shared" si="2"/>
        <v>15</v>
      </c>
      <c r="H353" s="19"/>
      <c r="I353" s="19">
        <f t="shared" si="3"/>
        <v>0</v>
      </c>
      <c r="J353" s="20">
        <v>11.8</v>
      </c>
      <c r="K353" s="19">
        <f t="shared" si="11"/>
        <v>320</v>
      </c>
      <c r="L353" s="20">
        <v>3.69</v>
      </c>
      <c r="M353" s="19">
        <f t="shared" si="5"/>
        <v>351</v>
      </c>
      <c r="N353" s="20">
        <v>29.0</v>
      </c>
      <c r="O353" s="19">
        <f t="shared" si="6"/>
        <v>278</v>
      </c>
      <c r="P353" s="19" t="str">
        <f t="shared" si="7"/>
        <v>Punkte M 7-9</v>
      </c>
      <c r="Q353" s="19" t="str">
        <f t="shared" si="8"/>
        <v>Noten-Matrix-Jungen</v>
      </c>
      <c r="R353" s="21">
        <f t="shared" si="9"/>
        <v>949</v>
      </c>
      <c r="S353" s="19" t="str">
        <f>IF(R353=0, "Keine Teilnahme", IFERROR(IF(R353&gt;=VLOOKUP(G353&amp;LOWER(E353), Formeln!$H$2:$K$30, 4, FALSE), "Ehrenurkunde", IF(R353&gt;=VLOOKUP(G353&amp;LOWER(E353), Formeln!$H$2:$K$30, 3, FALSE), "Siegerurkunde", "Teilnehmerurkunde")), "Keine Urkunde"))</f>
        <v>Teilnehmerurkunde</v>
      </c>
      <c r="T353" s="22">
        <f t="shared" si="10"/>
        <v>2.9</v>
      </c>
    </row>
    <row r="354" ht="19.5" hidden="1" customHeight="1">
      <c r="A354" s="7" t="str">
        <f>IF(ASV_Daten!A326="","",ASV_Daten!A326)</f>
        <v>R8D</v>
      </c>
      <c r="B354" s="7" t="str">
        <f>IF(ASV_Daten!B326="","",ASV_Daten!B326)</f>
        <v>Antonovych</v>
      </c>
      <c r="C354" s="7" t="str">
        <f>IF(ASV_Daten!C326="","",ASV_Daten!C326)</f>
        <v>Yeva</v>
      </c>
      <c r="D354" s="7">
        <f>IF(ASV_Daten!D326="","",ASV_Daten!D326)</f>
        <v>2010</v>
      </c>
      <c r="E354" s="7" t="str">
        <f>IF(ASV_Daten!E326="","",ASV_Daten!E326)</f>
        <v>W</v>
      </c>
      <c r="F354" s="8" t="str">
        <f t="shared" si="1"/>
        <v>8</v>
      </c>
      <c r="G354" s="9">
        <f t="shared" si="2"/>
        <v>16</v>
      </c>
      <c r="H354" s="11"/>
      <c r="I354" s="11">
        <f t="shared" si="3"/>
        <v>0</v>
      </c>
      <c r="J354" s="11"/>
      <c r="K354" s="11">
        <f t="shared" si="11"/>
        <v>0</v>
      </c>
      <c r="L354" s="11"/>
      <c r="M354" s="11">
        <f t="shared" si="5"/>
        <v>0</v>
      </c>
      <c r="N354" s="11"/>
      <c r="O354" s="11">
        <f t="shared" si="6"/>
        <v>0</v>
      </c>
      <c r="P354" s="11" t="str">
        <f t="shared" si="7"/>
        <v>Punkte W 7-9</v>
      </c>
      <c r="Q354" s="11" t="str">
        <f t="shared" si="8"/>
        <v>Noten-Matrix-Mädchen</v>
      </c>
      <c r="R354" s="13">
        <f t="shared" si="9"/>
        <v>0</v>
      </c>
      <c r="S354" s="11" t="str">
        <f>IF(R354=0, "Keine Teilnahme", IFERROR(IF(R354&gt;=VLOOKUP(G354&amp;LOWER(E354), Formeln!$H$2:$K$30, 4, FALSE), "Ehrenurkunde", IF(R354&gt;=VLOOKUP(G354&amp;LOWER(E354), Formeln!$H$2:$K$30, 3, FALSE), "Siegerurkunde", "Teilnehmerurkunde")), "Keine Urkunde"))</f>
        <v>Keine Teilnahme</v>
      </c>
      <c r="T354" s="14" t="str">
        <f t="shared" si="10"/>
        <v>Keine Teilnahme</v>
      </c>
    </row>
    <row r="355" ht="19.5" hidden="1" customHeight="1">
      <c r="A355" s="15" t="str">
        <f>IF(ASV_Daten!A359="","",ASV_Daten!A359)</f>
        <v>R9A</v>
      </c>
      <c r="B355" s="15" t="str">
        <f>IF(ASV_Daten!B359="","",ASV_Daten!B359)</f>
        <v>El Kaati Srhiri</v>
      </c>
      <c r="C355" s="15" t="str">
        <f>IF(ASV_Daten!C359="","",ASV_Daten!C359)</f>
        <v>Anas</v>
      </c>
      <c r="D355" s="15">
        <f>IF(ASV_Daten!D359="","",ASV_Daten!D359)</f>
        <v>2011</v>
      </c>
      <c r="E355" s="15" t="str">
        <f>IF(ASV_Daten!E359="","",ASV_Daten!E359)</f>
        <v>M</v>
      </c>
      <c r="F355" s="16" t="str">
        <f t="shared" si="1"/>
        <v>9</v>
      </c>
      <c r="G355" s="17">
        <f t="shared" si="2"/>
        <v>15</v>
      </c>
      <c r="H355" s="18">
        <v>0.1486111111111111</v>
      </c>
      <c r="I355" s="19">
        <f t="shared" si="3"/>
        <v>419</v>
      </c>
      <c r="J355" s="19"/>
      <c r="K355" s="19">
        <f t="shared" si="11"/>
        <v>0</v>
      </c>
      <c r="L355" s="20">
        <v>4.53</v>
      </c>
      <c r="M355" s="19">
        <f t="shared" si="5"/>
        <v>446</v>
      </c>
      <c r="N355" s="20">
        <v>37.5</v>
      </c>
      <c r="O355" s="19">
        <f t="shared" si="6"/>
        <v>337</v>
      </c>
      <c r="P355" s="19" t="str">
        <f t="shared" si="7"/>
        <v>Punkte M 7-9</v>
      </c>
      <c r="Q355" s="19" t="str">
        <f t="shared" si="8"/>
        <v>Noten-Matrix-Jungen</v>
      </c>
      <c r="R355" s="21">
        <f t="shared" si="9"/>
        <v>1202</v>
      </c>
      <c r="S355" s="19" t="str">
        <f>IF(R355=0, "Keine Teilnahme", IFERROR(IF(R355&gt;=VLOOKUP(G355&amp;LOWER(E355), Formeln!$H$2:$K$30, 4, FALSE), "Ehrenurkunde", IF(R355&gt;=VLOOKUP(G355&amp;LOWER(E355), Formeln!$H$2:$K$30, 3, FALSE), "Siegerurkunde", "Teilnehmerurkunde")), "Keine Urkunde"))</f>
        <v>Siegerurkunde</v>
      </c>
      <c r="T355" s="22">
        <f t="shared" si="10"/>
        <v>1.7</v>
      </c>
    </row>
    <row r="356" ht="19.5" hidden="1" customHeight="1">
      <c r="A356" s="7" t="str">
        <f>IF(ASV_Daten!A362="","",ASV_Daten!A362)</f>
        <v>R9A</v>
      </c>
      <c r="B356" s="7" t="str">
        <f>IF(ASV_Daten!B362="","",ASV_Daten!B362)</f>
        <v>Grieshaber</v>
      </c>
      <c r="C356" s="7" t="str">
        <f>IF(ASV_Daten!C362="","",ASV_Daten!C362)</f>
        <v>Anja</v>
      </c>
      <c r="D356" s="7">
        <f>IF(ASV_Daten!D362="","",ASV_Daten!D362)</f>
        <v>2011</v>
      </c>
      <c r="E356" s="7" t="str">
        <f>IF(ASV_Daten!E362="","",ASV_Daten!E362)</f>
        <v>W</v>
      </c>
      <c r="F356" s="8" t="str">
        <f t="shared" si="1"/>
        <v>9</v>
      </c>
      <c r="G356" s="9">
        <f t="shared" si="2"/>
        <v>15</v>
      </c>
      <c r="H356" s="11"/>
      <c r="I356" s="11">
        <f t="shared" si="3"/>
        <v>0</v>
      </c>
      <c r="J356" s="11"/>
      <c r="K356" s="11">
        <f t="shared" si="11"/>
        <v>0</v>
      </c>
      <c r="L356" s="11"/>
      <c r="M356" s="11">
        <f t="shared" si="5"/>
        <v>0</v>
      </c>
      <c r="N356" s="11"/>
      <c r="O356" s="11">
        <f t="shared" si="6"/>
        <v>0</v>
      </c>
      <c r="P356" s="11" t="str">
        <f t="shared" si="7"/>
        <v>Punkte W 7-9</v>
      </c>
      <c r="Q356" s="11" t="str">
        <f t="shared" si="8"/>
        <v>Noten-Matrix-Mädchen</v>
      </c>
      <c r="R356" s="13">
        <f t="shared" si="9"/>
        <v>0</v>
      </c>
      <c r="S356" s="11" t="str">
        <f>IF(R356=0, "Keine Teilnahme", IFERROR(IF(R356&gt;=VLOOKUP(G356&amp;LOWER(E356), Formeln!$H$2:$K$30, 4, FALSE), "Ehrenurkunde", IF(R356&gt;=VLOOKUP(G356&amp;LOWER(E356), Formeln!$H$2:$K$30, 3, FALSE), "Siegerurkunde", "Teilnehmerurkunde")), "Keine Urkunde"))</f>
        <v>Keine Teilnahme</v>
      </c>
      <c r="T356" s="14" t="str">
        <f t="shared" si="10"/>
        <v>Keine Teilnahme</v>
      </c>
    </row>
    <row r="357" ht="19.5" hidden="1" customHeight="1">
      <c r="A357" s="15" t="str">
        <f>IF(ASV_Daten!A357="","",ASV_Daten!A357)</f>
        <v>R9A</v>
      </c>
      <c r="B357" s="15" t="str">
        <f>IF(ASV_Daten!B357="","",ASV_Daten!B357)</f>
        <v>Dold</v>
      </c>
      <c r="C357" s="15" t="str">
        <f>IF(ASV_Daten!C357="","",ASV_Daten!C357)</f>
        <v>Anna</v>
      </c>
      <c r="D357" s="15">
        <f>IF(ASV_Daten!D357="","",ASV_Daten!D357)</f>
        <v>2010</v>
      </c>
      <c r="E357" s="15" t="str">
        <f>IF(ASV_Daten!E357="","",ASV_Daten!E357)</f>
        <v>W</v>
      </c>
      <c r="F357" s="16" t="str">
        <f t="shared" si="1"/>
        <v>9</v>
      </c>
      <c r="G357" s="17">
        <f t="shared" si="2"/>
        <v>16</v>
      </c>
      <c r="H357" s="25"/>
      <c r="I357" s="19">
        <f t="shared" si="3"/>
        <v>0</v>
      </c>
      <c r="J357" s="20">
        <v>11.2</v>
      </c>
      <c r="K357" s="19">
        <f t="shared" si="11"/>
        <v>387</v>
      </c>
      <c r="L357" s="20">
        <v>4.13</v>
      </c>
      <c r="M357" s="19">
        <f t="shared" si="5"/>
        <v>451</v>
      </c>
      <c r="N357" s="20">
        <v>25.0</v>
      </c>
      <c r="O357" s="19">
        <f t="shared" si="6"/>
        <v>345</v>
      </c>
      <c r="P357" s="19" t="str">
        <f t="shared" si="7"/>
        <v>Punkte W 7-9</v>
      </c>
      <c r="Q357" s="19" t="str">
        <f t="shared" si="8"/>
        <v>Noten-Matrix-Mädchen</v>
      </c>
      <c r="R357" s="21">
        <f t="shared" si="9"/>
        <v>1183</v>
      </c>
      <c r="S357" s="19" t="str">
        <f>IF(R357=0, "Keine Teilnahme", IFERROR(IF(R357&gt;=VLOOKUP(G357&amp;LOWER(E357), Formeln!$H$2:$K$30, 4, FALSE), "Ehrenurkunde", IF(R357&gt;=VLOOKUP(G357&amp;LOWER(E357), Formeln!$H$2:$K$30, 3, FALSE), "Siegerurkunde", "Teilnehmerurkunde")), "Keine Urkunde"))</f>
        <v>Ehrenurkunde</v>
      </c>
      <c r="T357" s="22">
        <f t="shared" si="10"/>
        <v>1.1</v>
      </c>
    </row>
    <row r="358" ht="19.5" hidden="1" customHeight="1">
      <c r="A358" s="7" t="str">
        <f>IF(ASV_Daten!A368="","",ASV_Daten!A368)</f>
        <v>R9A</v>
      </c>
      <c r="B358" s="7" t="str">
        <f>IF(ASV_Daten!B368="","",ASV_Daten!B368)</f>
        <v>Kurz</v>
      </c>
      <c r="C358" s="7" t="str">
        <f>IF(ASV_Daten!C368="","",ASV_Daten!C368)</f>
        <v>Charlotta</v>
      </c>
      <c r="D358" s="7">
        <f>IF(ASV_Daten!D368="","",ASV_Daten!D368)</f>
        <v>2011</v>
      </c>
      <c r="E358" s="7" t="str">
        <f>IF(ASV_Daten!E368="","",ASV_Daten!E368)</f>
        <v>W</v>
      </c>
      <c r="F358" s="8" t="str">
        <f t="shared" si="1"/>
        <v>9</v>
      </c>
      <c r="G358" s="9">
        <f t="shared" si="2"/>
        <v>15</v>
      </c>
      <c r="H358" s="27"/>
      <c r="I358" s="11">
        <f t="shared" si="3"/>
        <v>0</v>
      </c>
      <c r="J358" s="12">
        <v>10.8</v>
      </c>
      <c r="K358" s="11">
        <f t="shared" si="11"/>
        <v>423</v>
      </c>
      <c r="L358" s="12">
        <v>4.41</v>
      </c>
      <c r="M358" s="11">
        <f t="shared" si="5"/>
        <v>483</v>
      </c>
      <c r="N358" s="12">
        <v>23.0</v>
      </c>
      <c r="O358" s="11">
        <f t="shared" si="6"/>
        <v>325</v>
      </c>
      <c r="P358" s="11" t="str">
        <f t="shared" si="7"/>
        <v>Punkte W 7-9</v>
      </c>
      <c r="Q358" s="11" t="str">
        <f t="shared" si="8"/>
        <v>Noten-Matrix-Mädchen</v>
      </c>
      <c r="R358" s="13">
        <f t="shared" si="9"/>
        <v>1231</v>
      </c>
      <c r="S358" s="11" t="str">
        <f>IF(R358=0, "Keine Teilnahme", IFERROR(IF(R358&gt;=VLOOKUP(G358&amp;LOWER(E358), Formeln!$H$2:$K$30, 4, FALSE), "Ehrenurkunde", IF(R358&gt;=VLOOKUP(G358&amp;LOWER(E358), Formeln!$H$2:$K$30, 3, FALSE), "Siegerurkunde", "Teilnehmerurkunde")), "Keine Urkunde"))</f>
        <v>Ehrenurkunde</v>
      </c>
      <c r="T358" s="14">
        <f t="shared" si="10"/>
        <v>1</v>
      </c>
    </row>
    <row r="359" ht="19.5" hidden="1" customHeight="1">
      <c r="A359" s="15" t="str">
        <f>IF(ASV_Daten!A358="","",ASV_Daten!A358)</f>
        <v>R9A</v>
      </c>
      <c r="B359" s="15" t="str">
        <f>IF(ASV_Daten!B358="","",ASV_Daten!B358)</f>
        <v>Duttlinger</v>
      </c>
      <c r="C359" s="15" t="str">
        <f>IF(ASV_Daten!C358="","",ASV_Daten!C358)</f>
        <v>Connor</v>
      </c>
      <c r="D359" s="15">
        <f>IF(ASV_Daten!D358="","",ASV_Daten!D358)</f>
        <v>2010</v>
      </c>
      <c r="E359" s="15" t="str">
        <f>IF(ASV_Daten!E358="","",ASV_Daten!E358)</f>
        <v>M</v>
      </c>
      <c r="F359" s="16" t="str">
        <f t="shared" si="1"/>
        <v>9</v>
      </c>
      <c r="G359" s="17">
        <f t="shared" si="2"/>
        <v>16</v>
      </c>
      <c r="H359" s="19"/>
      <c r="I359" s="19">
        <f t="shared" si="3"/>
        <v>0</v>
      </c>
      <c r="J359" s="20">
        <v>10.8</v>
      </c>
      <c r="K359" s="19">
        <f t="shared" si="11"/>
        <v>405</v>
      </c>
      <c r="L359" s="20">
        <v>4.33</v>
      </c>
      <c r="M359" s="19">
        <f t="shared" si="5"/>
        <v>424</v>
      </c>
      <c r="N359" s="20">
        <v>23.0</v>
      </c>
      <c r="O359" s="19">
        <f t="shared" si="6"/>
        <v>230</v>
      </c>
      <c r="P359" s="19" t="str">
        <f t="shared" si="7"/>
        <v>Punkte M 7-9</v>
      </c>
      <c r="Q359" s="19" t="str">
        <f t="shared" si="8"/>
        <v>Noten-Matrix-Jungen</v>
      </c>
      <c r="R359" s="21">
        <f t="shared" si="9"/>
        <v>1059</v>
      </c>
      <c r="S359" s="19" t="str">
        <f>IF(R359=0, "Keine Teilnahme", IFERROR(IF(R359&gt;=VLOOKUP(G359&amp;LOWER(E359), Formeln!$H$2:$K$30, 4, FALSE), "Ehrenurkunde", IF(R359&gt;=VLOOKUP(G359&amp;LOWER(E359), Formeln!$H$2:$K$30, 3, FALSE), "Siegerurkunde", "Teilnehmerurkunde")), "Keine Urkunde"))</f>
        <v>Siegerurkunde</v>
      </c>
      <c r="T359" s="22">
        <f t="shared" si="10"/>
        <v>2.7</v>
      </c>
    </row>
    <row r="360" ht="19.5" hidden="1" customHeight="1">
      <c r="A360" s="7" t="str">
        <f>IF(ASV_Daten!A367="","",ASV_Daten!A367)</f>
        <v>R9A</v>
      </c>
      <c r="B360" s="7" t="str">
        <f>IF(ASV_Daten!B367="","",ASV_Daten!B367)</f>
        <v>Kleiser</v>
      </c>
      <c r="C360" s="7" t="str">
        <f>IF(ASV_Daten!C367="","",ASV_Daten!C367)</f>
        <v>Dana</v>
      </c>
      <c r="D360" s="7">
        <f>IF(ASV_Daten!D367="","",ASV_Daten!D367)</f>
        <v>2011</v>
      </c>
      <c r="E360" s="7" t="str">
        <f>IF(ASV_Daten!E367="","",ASV_Daten!E367)</f>
        <v>W</v>
      </c>
      <c r="F360" s="8" t="str">
        <f t="shared" si="1"/>
        <v>9</v>
      </c>
      <c r="G360" s="9">
        <f t="shared" si="2"/>
        <v>15</v>
      </c>
      <c r="H360" s="11"/>
      <c r="I360" s="11">
        <f t="shared" si="3"/>
        <v>0</v>
      </c>
      <c r="J360" s="12">
        <v>10.5</v>
      </c>
      <c r="K360" s="11">
        <f t="shared" si="11"/>
        <v>452</v>
      </c>
      <c r="L360" s="12">
        <v>4.61</v>
      </c>
      <c r="M360" s="11">
        <f t="shared" si="5"/>
        <v>506</v>
      </c>
      <c r="N360" s="12">
        <v>22.5</v>
      </c>
      <c r="O360" s="11">
        <f t="shared" si="6"/>
        <v>320</v>
      </c>
      <c r="P360" s="11" t="str">
        <f t="shared" si="7"/>
        <v>Punkte W 7-9</v>
      </c>
      <c r="Q360" s="11" t="str">
        <f t="shared" si="8"/>
        <v>Noten-Matrix-Mädchen</v>
      </c>
      <c r="R360" s="13">
        <f t="shared" si="9"/>
        <v>1278</v>
      </c>
      <c r="S360" s="11" t="str">
        <f>IF(R360=0, "Keine Teilnahme", IFERROR(IF(R360&gt;=VLOOKUP(G360&amp;LOWER(E360), Formeln!$H$2:$K$30, 4, FALSE), "Ehrenurkunde", IF(R360&gt;=VLOOKUP(G360&amp;LOWER(E360), Formeln!$H$2:$K$30, 3, FALSE), "Siegerurkunde", "Teilnehmerurkunde")), "Keine Urkunde"))</f>
        <v>Ehrenurkunde</v>
      </c>
      <c r="T360" s="14">
        <f t="shared" si="10"/>
        <v>1</v>
      </c>
    </row>
    <row r="361" ht="19.5" hidden="1" customHeight="1">
      <c r="A361" s="15" t="str">
        <f>IF(ASV_Daten!A354="","",ASV_Daten!A354)</f>
        <v>R9A</v>
      </c>
      <c r="B361" s="15" t="str">
        <f>IF(ASV_Daten!B354="","",ASV_Daten!B354)</f>
        <v>Ayyoubi</v>
      </c>
      <c r="C361" s="15" t="str">
        <f>IF(ASV_Daten!C354="","",ASV_Daten!C354)</f>
        <v>Elham</v>
      </c>
      <c r="D361" s="15">
        <f>IF(ASV_Daten!D354="","",ASV_Daten!D354)</f>
        <v>2011</v>
      </c>
      <c r="E361" s="15" t="str">
        <f>IF(ASV_Daten!E354="","",ASV_Daten!E354)</f>
        <v>M</v>
      </c>
      <c r="F361" s="16" t="str">
        <f t="shared" si="1"/>
        <v>9</v>
      </c>
      <c r="G361" s="17">
        <f t="shared" si="2"/>
        <v>15</v>
      </c>
      <c r="H361" s="18">
        <v>0.14166666666666666</v>
      </c>
      <c r="I361" s="19">
        <f t="shared" si="3"/>
        <v>457</v>
      </c>
      <c r="J361" s="20">
        <v>4.41</v>
      </c>
      <c r="K361" s="19">
        <f t="shared" si="11"/>
        <v>575</v>
      </c>
      <c r="L361" s="20">
        <v>25.5</v>
      </c>
      <c r="M361" s="19">
        <f t="shared" si="5"/>
        <v>770</v>
      </c>
      <c r="N361" s="20">
        <v>25.5</v>
      </c>
      <c r="O361" s="19">
        <f t="shared" si="6"/>
        <v>251</v>
      </c>
      <c r="P361" s="19" t="str">
        <f t="shared" si="7"/>
        <v>Punkte M 7-9</v>
      </c>
      <c r="Q361" s="19" t="str">
        <f t="shared" si="8"/>
        <v>Noten-Matrix-Jungen</v>
      </c>
      <c r="R361" s="21">
        <f t="shared" si="9"/>
        <v>1802</v>
      </c>
      <c r="S361" s="19" t="str">
        <f>IF(R361=0, "Keine Teilnahme", IFERROR(IF(R361&gt;=VLOOKUP(G361&amp;LOWER(E361), Formeln!$H$2:$K$30, 4, FALSE), "Ehrenurkunde", IF(R361&gt;=VLOOKUP(G361&amp;LOWER(E361), Formeln!$H$2:$K$30, 3, FALSE), "Siegerurkunde", "Teilnehmerurkunde")), "Keine Urkunde"))</f>
        <v>Ehrenurkunde</v>
      </c>
      <c r="T361" s="22">
        <f t="shared" si="10"/>
        <v>1</v>
      </c>
    </row>
    <row r="362" ht="19.5" hidden="1" customHeight="1">
      <c r="A362" s="7" t="str">
        <f>IF(ASV_Daten!A375="","",ASV_Daten!A375)</f>
        <v>R9A</v>
      </c>
      <c r="B362" s="7" t="str">
        <f>IF(ASV_Daten!B375="","",ASV_Daten!B375)</f>
        <v>Strittmatter</v>
      </c>
      <c r="C362" s="7" t="str">
        <f>IF(ASV_Daten!C375="","",ASV_Daten!C375)</f>
        <v>Eva</v>
      </c>
      <c r="D362" s="7">
        <f>IF(ASV_Daten!D375="","",ASV_Daten!D375)</f>
        <v>2010</v>
      </c>
      <c r="E362" s="7" t="str">
        <f>IF(ASV_Daten!E375="","",ASV_Daten!E375)</f>
        <v>W</v>
      </c>
      <c r="F362" s="8" t="str">
        <f t="shared" si="1"/>
        <v>9</v>
      </c>
      <c r="G362" s="9">
        <f t="shared" si="2"/>
        <v>16</v>
      </c>
      <c r="H362" s="11"/>
      <c r="I362" s="11">
        <f t="shared" si="3"/>
        <v>0</v>
      </c>
      <c r="J362" s="11"/>
      <c r="K362" s="11">
        <f t="shared" si="11"/>
        <v>0</v>
      </c>
      <c r="L362" s="11"/>
      <c r="M362" s="11">
        <f t="shared" si="5"/>
        <v>0</v>
      </c>
      <c r="N362" s="11"/>
      <c r="O362" s="11">
        <f t="shared" si="6"/>
        <v>0</v>
      </c>
      <c r="P362" s="11" t="str">
        <f t="shared" si="7"/>
        <v>Punkte W 7-9</v>
      </c>
      <c r="Q362" s="11" t="str">
        <f t="shared" si="8"/>
        <v>Noten-Matrix-Mädchen</v>
      </c>
      <c r="R362" s="13">
        <f t="shared" si="9"/>
        <v>0</v>
      </c>
      <c r="S362" s="11" t="str">
        <f>IF(R362=0, "Keine Teilnahme", IFERROR(IF(R362&gt;=VLOOKUP(G362&amp;LOWER(E362), Formeln!$H$2:$K$30, 4, FALSE), "Ehrenurkunde", IF(R362&gt;=VLOOKUP(G362&amp;LOWER(E362), Formeln!$H$2:$K$30, 3, FALSE), "Siegerurkunde", "Teilnehmerurkunde")), "Keine Urkunde"))</f>
        <v>Keine Teilnahme</v>
      </c>
      <c r="T362" s="14" t="str">
        <f t="shared" si="10"/>
        <v>Keine Teilnahme</v>
      </c>
    </row>
    <row r="363" ht="19.5" hidden="1" customHeight="1">
      <c r="A363" s="15" t="str">
        <f>IF(ASV_Daten!A370="","",ASV_Daten!A370)</f>
        <v>R9A</v>
      </c>
      <c r="B363" s="15" t="str">
        <f>IF(ASV_Daten!B370="","",ASV_Daten!B370)</f>
        <v>Maier</v>
      </c>
      <c r="C363" s="15" t="str">
        <f>IF(ASV_Daten!C370="","",ASV_Daten!C370)</f>
        <v>Finn</v>
      </c>
      <c r="D363" s="15">
        <f>IF(ASV_Daten!D370="","",ASV_Daten!D370)</f>
        <v>2011</v>
      </c>
      <c r="E363" s="15" t="str">
        <f>IF(ASV_Daten!E370="","",ASV_Daten!E370)</f>
        <v>M</v>
      </c>
      <c r="F363" s="16" t="str">
        <f t="shared" si="1"/>
        <v>9</v>
      </c>
      <c r="G363" s="17">
        <f t="shared" si="2"/>
        <v>15</v>
      </c>
      <c r="H363" s="25"/>
      <c r="I363" s="19">
        <f t="shared" si="3"/>
        <v>0</v>
      </c>
      <c r="J363" s="20">
        <v>12.0</v>
      </c>
      <c r="K363" s="19">
        <f t="shared" si="11"/>
        <v>305</v>
      </c>
      <c r="L363" s="20">
        <v>3.53</v>
      </c>
      <c r="M363" s="19">
        <f t="shared" si="5"/>
        <v>332</v>
      </c>
      <c r="N363" s="20">
        <v>27.5</v>
      </c>
      <c r="O363" s="19">
        <f t="shared" si="6"/>
        <v>266</v>
      </c>
      <c r="P363" s="19" t="str">
        <f t="shared" si="7"/>
        <v>Punkte M 7-9</v>
      </c>
      <c r="Q363" s="19" t="str">
        <f t="shared" si="8"/>
        <v>Noten-Matrix-Jungen</v>
      </c>
      <c r="R363" s="21">
        <f t="shared" si="9"/>
        <v>903</v>
      </c>
      <c r="S363" s="19" t="str">
        <f>IF(R363=0, "Keine Teilnahme", IFERROR(IF(R363&gt;=VLOOKUP(G363&amp;LOWER(E363), Formeln!$H$2:$K$30, 4, FALSE), "Ehrenurkunde", IF(R363&gt;=VLOOKUP(G363&amp;LOWER(E363), Formeln!$H$2:$K$30, 3, FALSE), "Siegerurkunde", "Teilnehmerurkunde")), "Keine Urkunde"))</f>
        <v>Teilnehmerurkunde</v>
      </c>
      <c r="T363" s="22">
        <f t="shared" si="10"/>
        <v>3.2</v>
      </c>
    </row>
    <row r="364" ht="19.5" hidden="1" customHeight="1">
      <c r="A364" s="7" t="str">
        <f>IF(ASV_Daten!A377="","",ASV_Daten!A377)</f>
        <v>R9A</v>
      </c>
      <c r="B364" s="7" t="str">
        <f>IF(ASV_Daten!B377="","",ASV_Daten!B377)</f>
        <v>Walter</v>
      </c>
      <c r="C364" s="7" t="str">
        <f>IF(ASV_Daten!C377="","",ASV_Daten!C377)</f>
        <v>Hannah</v>
      </c>
      <c r="D364" s="34">
        <f>IF(ASV_Daten!D377="","",ASV_Daten!D377)</f>
        <v>2011</v>
      </c>
      <c r="E364" s="7" t="str">
        <f>IF(ASV_Daten!E377="","",ASV_Daten!E377)</f>
        <v>W</v>
      </c>
      <c r="F364" s="8" t="str">
        <f t="shared" si="1"/>
        <v>9</v>
      </c>
      <c r="G364" s="9">
        <f t="shared" si="2"/>
        <v>15</v>
      </c>
      <c r="H364" s="11"/>
      <c r="I364" s="11">
        <f t="shared" si="3"/>
        <v>0</v>
      </c>
      <c r="J364" s="12">
        <v>11.4</v>
      </c>
      <c r="K364" s="11">
        <f t="shared" si="11"/>
        <v>370</v>
      </c>
      <c r="L364" s="12">
        <v>3.93</v>
      </c>
      <c r="M364" s="11">
        <f t="shared" si="5"/>
        <v>427</v>
      </c>
      <c r="N364" s="12">
        <v>35.0</v>
      </c>
      <c r="O364" s="11">
        <f t="shared" si="6"/>
        <v>433</v>
      </c>
      <c r="P364" s="11" t="str">
        <f t="shared" si="7"/>
        <v>Punkte W 7-9</v>
      </c>
      <c r="Q364" s="11" t="str">
        <f t="shared" si="8"/>
        <v>Noten-Matrix-Mädchen</v>
      </c>
      <c r="R364" s="13">
        <f t="shared" si="9"/>
        <v>1230</v>
      </c>
      <c r="S364" s="11" t="str">
        <f>IF(R364=0, "Keine Teilnahme", IFERROR(IF(R364&gt;=VLOOKUP(G364&amp;LOWER(E364), Formeln!$H$2:$K$30, 4, FALSE), "Ehrenurkunde", IF(R364&gt;=VLOOKUP(G364&amp;LOWER(E364), Formeln!$H$2:$K$30, 3, FALSE), "Siegerurkunde", "Teilnehmerurkunde")), "Keine Urkunde"))</f>
        <v>Ehrenurkunde</v>
      </c>
      <c r="T364" s="14">
        <f t="shared" si="10"/>
        <v>1</v>
      </c>
    </row>
    <row r="365" ht="19.5" hidden="1" customHeight="1">
      <c r="A365" s="15" t="str">
        <f>IF(ASV_Daten!A365="","",ASV_Daten!A365)</f>
        <v>R9A</v>
      </c>
      <c r="B365" s="15" t="str">
        <f>IF(ASV_Daten!B365="","",ASV_Daten!B365)</f>
        <v>Kaltenbach</v>
      </c>
      <c r="C365" s="15" t="str">
        <f>IF(ASV_Daten!C365="","",ASV_Daten!C365)</f>
        <v>Hermine Anni</v>
      </c>
      <c r="D365" s="15">
        <f>IF(ASV_Daten!D365="","",ASV_Daten!D365)</f>
        <v>2010</v>
      </c>
      <c r="E365" s="15" t="str">
        <f>IF(ASV_Daten!E365="","",ASV_Daten!E365)</f>
        <v>W</v>
      </c>
      <c r="F365" s="16" t="str">
        <f t="shared" si="1"/>
        <v>9</v>
      </c>
      <c r="G365" s="17">
        <f t="shared" si="2"/>
        <v>16</v>
      </c>
      <c r="H365" s="25"/>
      <c r="I365" s="19">
        <f t="shared" si="3"/>
        <v>0</v>
      </c>
      <c r="J365" s="19"/>
      <c r="K365" s="19">
        <f t="shared" si="11"/>
        <v>0</v>
      </c>
      <c r="L365" s="19"/>
      <c r="M365" s="19">
        <f t="shared" si="5"/>
        <v>0</v>
      </c>
      <c r="N365" s="19"/>
      <c r="O365" s="19">
        <f t="shared" si="6"/>
        <v>0</v>
      </c>
      <c r="P365" s="19" t="str">
        <f t="shared" si="7"/>
        <v>Punkte W 7-9</v>
      </c>
      <c r="Q365" s="19" t="str">
        <f t="shared" si="8"/>
        <v>Noten-Matrix-Mädchen</v>
      </c>
      <c r="R365" s="21">
        <f t="shared" si="9"/>
        <v>0</v>
      </c>
      <c r="S365" s="19" t="str">
        <f>IF(R365=0, "Keine Teilnahme", IFERROR(IF(R365&gt;=VLOOKUP(G365&amp;LOWER(E365), Formeln!$H$2:$K$30, 4, FALSE), "Ehrenurkunde", IF(R365&gt;=VLOOKUP(G365&amp;LOWER(E365), Formeln!$H$2:$K$30, 3, FALSE), "Siegerurkunde", "Teilnehmerurkunde")), "Keine Urkunde"))</f>
        <v>Keine Teilnahme</v>
      </c>
      <c r="T365" s="22" t="str">
        <f t="shared" si="10"/>
        <v>Keine Teilnahme</v>
      </c>
    </row>
    <row r="366" ht="19.5" hidden="1" customHeight="1">
      <c r="A366" s="7" t="str">
        <f>IF(ASV_Daten!A360="","",ASV_Daten!A360)</f>
        <v>R9A</v>
      </c>
      <c r="B366" s="7" t="str">
        <f>IF(ASV_Daten!B360="","",ASV_Daten!B360)</f>
        <v>Faulstich</v>
      </c>
      <c r="C366" s="7" t="str">
        <f>IF(ASV_Daten!C360="","",ASV_Daten!C360)</f>
        <v>Jayden</v>
      </c>
      <c r="D366" s="7">
        <f>IF(ASV_Daten!D360="","",ASV_Daten!D360)</f>
        <v>2011</v>
      </c>
      <c r="E366" s="7" t="str">
        <f>IF(ASV_Daten!E360="","",ASV_Daten!E360)</f>
        <v>M</v>
      </c>
      <c r="F366" s="8" t="str">
        <f t="shared" si="1"/>
        <v>9</v>
      </c>
      <c r="G366" s="9">
        <f t="shared" si="2"/>
        <v>15</v>
      </c>
      <c r="H366" s="11"/>
      <c r="I366" s="11">
        <f t="shared" si="3"/>
        <v>0</v>
      </c>
      <c r="J366" s="12">
        <v>10.7</v>
      </c>
      <c r="K366" s="11">
        <f t="shared" si="11"/>
        <v>414</v>
      </c>
      <c r="L366" s="12">
        <v>4.13</v>
      </c>
      <c r="M366" s="11">
        <f t="shared" si="5"/>
        <v>402</v>
      </c>
      <c r="N366" s="12">
        <v>30.5</v>
      </c>
      <c r="O366" s="11">
        <f t="shared" si="6"/>
        <v>289</v>
      </c>
      <c r="P366" s="11" t="str">
        <f t="shared" si="7"/>
        <v>Punkte M 7-9</v>
      </c>
      <c r="Q366" s="11" t="str">
        <f t="shared" si="8"/>
        <v>Noten-Matrix-Jungen</v>
      </c>
      <c r="R366" s="13">
        <f t="shared" si="9"/>
        <v>1105</v>
      </c>
      <c r="S366" s="11" t="str">
        <f>IF(R366=0, "Keine Teilnahme", IFERROR(IF(R366&gt;=VLOOKUP(G366&amp;LOWER(E366), Formeln!$H$2:$K$30, 4, FALSE), "Ehrenurkunde", IF(R366&gt;=VLOOKUP(G366&amp;LOWER(E366), Formeln!$H$2:$K$30, 3, FALSE), "Siegerurkunde", "Teilnehmerurkunde")), "Keine Urkunde"))</f>
        <v>Siegerurkunde</v>
      </c>
      <c r="T366" s="14">
        <f t="shared" si="10"/>
        <v>2.1</v>
      </c>
    </row>
    <row r="367" ht="19.5" hidden="1" customHeight="1">
      <c r="A367" s="15" t="str">
        <f>IF(ASV_Daten!A379="","",ASV_Daten!A379)</f>
        <v>R9A</v>
      </c>
      <c r="B367" s="15" t="str">
        <f>IF(ASV_Daten!B379="","",ASV_Daten!B379)</f>
        <v>Zavara</v>
      </c>
      <c r="C367" s="15" t="str">
        <f>IF(ASV_Daten!C379="","",ASV_Daten!C379)</f>
        <v>Liana-Maria</v>
      </c>
      <c r="D367" s="35">
        <f>IF(ASV_Daten!D379="","",ASV_Daten!D379)</f>
        <v>2011</v>
      </c>
      <c r="E367" s="15" t="str">
        <f>IF(ASV_Daten!E379="","",ASV_Daten!E379)</f>
        <v>W</v>
      </c>
      <c r="F367" s="16" t="str">
        <f t="shared" si="1"/>
        <v>9</v>
      </c>
      <c r="G367" s="17">
        <f t="shared" si="2"/>
        <v>15</v>
      </c>
      <c r="H367" s="19"/>
      <c r="I367" s="19">
        <f t="shared" si="3"/>
        <v>0</v>
      </c>
      <c r="J367" s="19"/>
      <c r="K367" s="19">
        <f t="shared" si="11"/>
        <v>0</v>
      </c>
      <c r="L367" s="19"/>
      <c r="M367" s="19">
        <f t="shared" si="5"/>
        <v>0</v>
      </c>
      <c r="N367" s="19"/>
      <c r="O367" s="19">
        <f t="shared" si="6"/>
        <v>0</v>
      </c>
      <c r="P367" s="19" t="str">
        <f t="shared" si="7"/>
        <v>Punkte W 7-9</v>
      </c>
      <c r="Q367" s="19" t="str">
        <f t="shared" si="8"/>
        <v>Noten-Matrix-Mädchen</v>
      </c>
      <c r="R367" s="21">
        <f t="shared" si="9"/>
        <v>0</v>
      </c>
      <c r="S367" s="19" t="str">
        <f>IF(R367=0, "Keine Teilnahme", IFERROR(IF(R367&gt;=VLOOKUP(G367&amp;LOWER(E367), Formeln!$H$2:$K$30, 4, FALSE), "Ehrenurkunde", IF(R367&gt;=VLOOKUP(G367&amp;LOWER(E367), Formeln!$H$2:$K$30, 3, FALSE), "Siegerurkunde", "Teilnehmerurkunde")), "Keine Urkunde"))</f>
        <v>Keine Teilnahme</v>
      </c>
      <c r="T367" s="22" t="str">
        <f t="shared" si="10"/>
        <v>Keine Teilnahme</v>
      </c>
    </row>
    <row r="368" ht="19.5" hidden="1" customHeight="1">
      <c r="A368" s="7" t="str">
        <f>IF(ASV_Daten!A366="","",ASV_Daten!A366)</f>
        <v>R9A</v>
      </c>
      <c r="B368" s="7" t="str">
        <f>IF(ASV_Daten!B366="","",ASV_Daten!B366)</f>
        <v>Ketterer</v>
      </c>
      <c r="C368" s="7" t="str">
        <f>IF(ASV_Daten!C366="","",ASV_Daten!C366)</f>
        <v>Lina</v>
      </c>
      <c r="D368" s="7">
        <f>IF(ASV_Daten!D366="","",ASV_Daten!D366)</f>
        <v>2010</v>
      </c>
      <c r="E368" s="7" t="str">
        <f>IF(ASV_Daten!E366="","",ASV_Daten!E366)</f>
        <v>W</v>
      </c>
      <c r="F368" s="8" t="str">
        <f t="shared" si="1"/>
        <v>9</v>
      </c>
      <c r="G368" s="9">
        <f t="shared" si="2"/>
        <v>16</v>
      </c>
      <c r="H368" s="11"/>
      <c r="I368" s="11">
        <f t="shared" si="3"/>
        <v>0</v>
      </c>
      <c r="J368" s="11"/>
      <c r="K368" s="11">
        <f t="shared" si="11"/>
        <v>0</v>
      </c>
      <c r="L368" s="11"/>
      <c r="M368" s="11">
        <f t="shared" si="5"/>
        <v>0</v>
      </c>
      <c r="N368" s="11"/>
      <c r="O368" s="11">
        <f t="shared" si="6"/>
        <v>0</v>
      </c>
      <c r="P368" s="11" t="str">
        <f t="shared" si="7"/>
        <v>Punkte W 7-9</v>
      </c>
      <c r="Q368" s="11" t="str">
        <f t="shared" si="8"/>
        <v>Noten-Matrix-Mädchen</v>
      </c>
      <c r="R368" s="13">
        <f t="shared" si="9"/>
        <v>0</v>
      </c>
      <c r="S368" s="11" t="str">
        <f>IF(R368=0, "Keine Teilnahme", IFERROR(IF(R368&gt;=VLOOKUP(G368&amp;LOWER(E368), Formeln!$H$2:$K$30, 4, FALSE), "Ehrenurkunde", IF(R368&gt;=VLOOKUP(G368&amp;LOWER(E368), Formeln!$H$2:$K$30, 3, FALSE), "Siegerurkunde", "Teilnehmerurkunde")), "Keine Urkunde"))</f>
        <v>Keine Teilnahme</v>
      </c>
      <c r="T368" s="14" t="str">
        <f t="shared" si="10"/>
        <v>Keine Teilnahme</v>
      </c>
    </row>
    <row r="369" ht="19.5" hidden="1" customHeight="1">
      <c r="A369" s="15" t="str">
        <f>IF(ASV_Daten!A372="","",ASV_Daten!A372)</f>
        <v>R9A</v>
      </c>
      <c r="B369" s="15" t="str">
        <f>IF(ASV_Daten!B372="","",ASV_Daten!B372)</f>
        <v>Saier</v>
      </c>
      <c r="C369" s="15" t="str">
        <f>IF(ASV_Daten!C372="","",ASV_Daten!C372)</f>
        <v>Lina</v>
      </c>
      <c r="D369" s="15">
        <f>IF(ASV_Daten!D372="","",ASV_Daten!D372)</f>
        <v>2011</v>
      </c>
      <c r="E369" s="15" t="str">
        <f>IF(ASV_Daten!E372="","",ASV_Daten!E372)</f>
        <v>W</v>
      </c>
      <c r="F369" s="16" t="str">
        <f t="shared" si="1"/>
        <v>9</v>
      </c>
      <c r="G369" s="17">
        <f t="shared" si="2"/>
        <v>15</v>
      </c>
      <c r="H369" s="19"/>
      <c r="I369" s="19">
        <f t="shared" si="3"/>
        <v>0</v>
      </c>
      <c r="J369" s="20">
        <v>12.3</v>
      </c>
      <c r="K369" s="19">
        <f t="shared" si="11"/>
        <v>300</v>
      </c>
      <c r="L369" s="20">
        <v>3.41</v>
      </c>
      <c r="M369" s="19">
        <f t="shared" si="5"/>
        <v>362</v>
      </c>
      <c r="N369" s="20">
        <v>20.0</v>
      </c>
      <c r="O369" s="19">
        <f t="shared" si="6"/>
        <v>294</v>
      </c>
      <c r="P369" s="19" t="str">
        <f t="shared" si="7"/>
        <v>Punkte W 7-9</v>
      </c>
      <c r="Q369" s="19" t="str">
        <f t="shared" si="8"/>
        <v>Noten-Matrix-Mädchen</v>
      </c>
      <c r="R369" s="21">
        <f t="shared" si="9"/>
        <v>956</v>
      </c>
      <c r="S369" s="19" t="str">
        <f>IF(R369=0, "Keine Teilnahme", IFERROR(IF(R369&gt;=VLOOKUP(G369&amp;LOWER(E369), Formeln!$H$2:$K$30, 4, FALSE), "Ehrenurkunde", IF(R369&gt;=VLOOKUP(G369&amp;LOWER(E369), Formeln!$H$2:$K$30, 3, FALSE), "Siegerurkunde", "Teilnehmerurkunde")), "Keine Urkunde"))</f>
        <v>Siegerurkunde</v>
      </c>
      <c r="T369" s="22">
        <f t="shared" si="10"/>
        <v>2.2</v>
      </c>
    </row>
    <row r="370" ht="19.5" hidden="1" customHeight="1">
      <c r="A370" s="7" t="str">
        <f>IF(ASV_Daten!A371="","",ASV_Daten!A371)</f>
        <v>R9A</v>
      </c>
      <c r="B370" s="7" t="str">
        <f>IF(ASV_Daten!B371="","",ASV_Daten!B371)</f>
        <v>Ott</v>
      </c>
      <c r="C370" s="7" t="str">
        <f>IF(ASV_Daten!C371="","",ASV_Daten!C371)</f>
        <v>Luisa</v>
      </c>
      <c r="D370" s="7">
        <f>IF(ASV_Daten!D371="","",ASV_Daten!D371)</f>
        <v>2010</v>
      </c>
      <c r="E370" s="7" t="str">
        <f>IF(ASV_Daten!E371="","",ASV_Daten!E371)</f>
        <v>W</v>
      </c>
      <c r="F370" s="8" t="str">
        <f t="shared" si="1"/>
        <v>9</v>
      </c>
      <c r="G370" s="9">
        <f t="shared" si="2"/>
        <v>16</v>
      </c>
      <c r="H370" s="11"/>
      <c r="I370" s="11">
        <f t="shared" si="3"/>
        <v>0</v>
      </c>
      <c r="J370" s="11"/>
      <c r="K370" s="11">
        <f t="shared" si="11"/>
        <v>0</v>
      </c>
      <c r="L370" s="11"/>
      <c r="M370" s="11">
        <f t="shared" si="5"/>
        <v>0</v>
      </c>
      <c r="N370" s="11"/>
      <c r="O370" s="11">
        <f t="shared" si="6"/>
        <v>0</v>
      </c>
      <c r="P370" s="11" t="str">
        <f t="shared" si="7"/>
        <v>Punkte W 7-9</v>
      </c>
      <c r="Q370" s="11" t="str">
        <f t="shared" si="8"/>
        <v>Noten-Matrix-Mädchen</v>
      </c>
      <c r="R370" s="13">
        <f t="shared" si="9"/>
        <v>0</v>
      </c>
      <c r="S370" s="11" t="str">
        <f>IF(R370=0, "Keine Teilnahme", IFERROR(IF(R370&gt;=VLOOKUP(G370&amp;LOWER(E370), Formeln!$H$2:$K$30, 4, FALSE), "Ehrenurkunde", IF(R370&gt;=VLOOKUP(G370&amp;LOWER(E370), Formeln!$H$2:$K$30, 3, FALSE), "Siegerurkunde", "Teilnehmerurkunde")), "Keine Urkunde"))</f>
        <v>Keine Teilnahme</v>
      </c>
      <c r="T370" s="14" t="str">
        <f t="shared" si="10"/>
        <v>Keine Teilnahme</v>
      </c>
    </row>
    <row r="371" ht="19.5" hidden="1" customHeight="1">
      <c r="A371" s="15" t="str">
        <f>IF(ASV_Daten!A378="","",ASV_Daten!A378)</f>
        <v>R9A</v>
      </c>
      <c r="B371" s="15" t="str">
        <f>IF(ASV_Daten!B378="","",ASV_Daten!B378)</f>
        <v>Willmann</v>
      </c>
      <c r="C371" s="15" t="str">
        <f>IF(ASV_Daten!C378="","",ASV_Daten!C378)</f>
        <v>Lukas</v>
      </c>
      <c r="D371" s="35">
        <f>IF(ASV_Daten!D378="","",ASV_Daten!D378)</f>
        <v>2011</v>
      </c>
      <c r="E371" s="15" t="str">
        <f>IF(ASV_Daten!E378="","",ASV_Daten!E378)</f>
        <v>M</v>
      </c>
      <c r="F371" s="16" t="str">
        <f t="shared" si="1"/>
        <v>9</v>
      </c>
      <c r="G371" s="17">
        <f t="shared" si="2"/>
        <v>15</v>
      </c>
      <c r="H371" s="19"/>
      <c r="I371" s="19">
        <f t="shared" si="3"/>
        <v>0</v>
      </c>
      <c r="J371" s="20">
        <v>10.9</v>
      </c>
      <c r="K371" s="19">
        <f t="shared" si="11"/>
        <v>396</v>
      </c>
      <c r="L371" s="20">
        <v>4.41</v>
      </c>
      <c r="M371" s="19">
        <f t="shared" si="5"/>
        <v>433</v>
      </c>
      <c r="N371" s="20">
        <v>31.0</v>
      </c>
      <c r="O371" s="19">
        <f t="shared" si="6"/>
        <v>292</v>
      </c>
      <c r="P371" s="19" t="str">
        <f t="shared" si="7"/>
        <v>Punkte M 7-9</v>
      </c>
      <c r="Q371" s="19" t="str">
        <f t="shared" si="8"/>
        <v>Noten-Matrix-Jungen</v>
      </c>
      <c r="R371" s="21">
        <f t="shared" si="9"/>
        <v>1121</v>
      </c>
      <c r="S371" s="19" t="str">
        <f>IF(R371=0, "Keine Teilnahme", IFERROR(IF(R371&gt;=VLOOKUP(G371&amp;LOWER(E371), Formeln!$H$2:$K$30, 4, FALSE), "Ehrenurkunde", IF(R371&gt;=VLOOKUP(G371&amp;LOWER(E371), Formeln!$H$2:$K$30, 3, FALSE), "Siegerurkunde", "Teilnehmerurkunde")), "Keine Urkunde"))</f>
        <v>Siegerurkunde</v>
      </c>
      <c r="T371" s="22">
        <f t="shared" si="10"/>
        <v>2.1</v>
      </c>
    </row>
    <row r="372" ht="19.5" hidden="1" customHeight="1">
      <c r="A372" s="7" t="str">
        <f>IF(ASV_Daten!A373="","",ASV_Daten!A373)</f>
        <v>R9A</v>
      </c>
      <c r="B372" s="7" t="str">
        <f>IF(ASV_Daten!B373="","",ASV_Daten!B373)</f>
        <v>Schönfeld</v>
      </c>
      <c r="C372" s="7" t="str">
        <f>IF(ASV_Daten!C373="","",ASV_Daten!C373)</f>
        <v>Maleen</v>
      </c>
      <c r="D372" s="7">
        <f>IF(ASV_Daten!D373="","",ASV_Daten!D373)</f>
        <v>2011</v>
      </c>
      <c r="E372" s="7" t="str">
        <f>IF(ASV_Daten!E373="","",ASV_Daten!E373)</f>
        <v>W</v>
      </c>
      <c r="F372" s="8" t="str">
        <f t="shared" si="1"/>
        <v>9</v>
      </c>
      <c r="G372" s="9">
        <f t="shared" si="2"/>
        <v>15</v>
      </c>
      <c r="H372" s="11"/>
      <c r="I372" s="11">
        <f t="shared" si="3"/>
        <v>0</v>
      </c>
      <c r="J372" s="12">
        <v>11.0</v>
      </c>
      <c r="K372" s="11">
        <f t="shared" si="11"/>
        <v>405</v>
      </c>
      <c r="L372" s="12">
        <v>4.01</v>
      </c>
      <c r="M372" s="11">
        <f t="shared" si="5"/>
        <v>437</v>
      </c>
      <c r="N372" s="12">
        <v>24.0</v>
      </c>
      <c r="O372" s="11">
        <f t="shared" si="6"/>
        <v>335</v>
      </c>
      <c r="P372" s="11" t="str">
        <f t="shared" si="7"/>
        <v>Punkte W 7-9</v>
      </c>
      <c r="Q372" s="11" t="str">
        <f t="shared" si="8"/>
        <v>Noten-Matrix-Mädchen</v>
      </c>
      <c r="R372" s="13">
        <f t="shared" si="9"/>
        <v>1177</v>
      </c>
      <c r="S372" s="11" t="str">
        <f>IF(R372=0, "Keine Teilnahme", IFERROR(IF(R372&gt;=VLOOKUP(G372&amp;LOWER(E372), Formeln!$H$2:$K$30, 4, FALSE), "Ehrenurkunde", IF(R372&gt;=VLOOKUP(G372&amp;LOWER(E372), Formeln!$H$2:$K$30, 3, FALSE), "Siegerurkunde", "Teilnehmerurkunde")), "Keine Urkunde"))</f>
        <v>Ehrenurkunde</v>
      </c>
      <c r="T372" s="14">
        <f t="shared" si="10"/>
        <v>1</v>
      </c>
    </row>
    <row r="373" ht="19.5" hidden="1" customHeight="1">
      <c r="A373" s="15" t="str">
        <f>IF(ASV_Daten!A356="","",ASV_Daten!A356)</f>
        <v>R9A</v>
      </c>
      <c r="B373" s="15" t="str">
        <f>IF(ASV_Daten!B356="","",ASV_Daten!B356)</f>
        <v>Braun</v>
      </c>
      <c r="C373" s="15" t="str">
        <f>IF(ASV_Daten!C356="","",ASV_Daten!C356)</f>
        <v>Marie-Christin</v>
      </c>
      <c r="D373" s="15">
        <f>IF(ASV_Daten!D356="","",ASV_Daten!D356)</f>
        <v>2011</v>
      </c>
      <c r="E373" s="15" t="str">
        <f>IF(ASV_Daten!E356="","",ASV_Daten!E356)</f>
        <v>W</v>
      </c>
      <c r="F373" s="16" t="str">
        <f t="shared" si="1"/>
        <v>9</v>
      </c>
      <c r="G373" s="17">
        <f t="shared" si="2"/>
        <v>15</v>
      </c>
      <c r="H373" s="19"/>
      <c r="I373" s="19">
        <f t="shared" si="3"/>
        <v>0</v>
      </c>
      <c r="J373" s="20">
        <v>14.0</v>
      </c>
      <c r="K373" s="19">
        <f t="shared" si="11"/>
        <v>192</v>
      </c>
      <c r="L373" s="19"/>
      <c r="M373" s="19">
        <f t="shared" si="5"/>
        <v>0</v>
      </c>
      <c r="N373" s="20">
        <v>13.5</v>
      </c>
      <c r="O373" s="19">
        <f t="shared" si="6"/>
        <v>217</v>
      </c>
      <c r="P373" s="19" t="str">
        <f t="shared" si="7"/>
        <v>Punkte W 7-9</v>
      </c>
      <c r="Q373" s="19" t="str">
        <f t="shared" si="8"/>
        <v>Noten-Matrix-Mädchen</v>
      </c>
      <c r="R373" s="21">
        <f t="shared" si="9"/>
        <v>409</v>
      </c>
      <c r="S373" s="19" t="str">
        <f>IF(R373=0, "Keine Teilnahme", IFERROR(IF(R373&gt;=VLOOKUP(G373&amp;LOWER(E373), Formeln!$H$2:$K$30, 4, FALSE), "Ehrenurkunde", IF(R373&gt;=VLOOKUP(G373&amp;LOWER(E373), Formeln!$H$2:$K$30, 3, FALSE), "Siegerurkunde", "Teilnehmerurkunde")), "Keine Urkunde"))</f>
        <v>Teilnehmerurkunde</v>
      </c>
      <c r="T373" s="22" t="str">
        <f t="shared" si="10"/>
        <v>NOTE</v>
      </c>
    </row>
    <row r="374" ht="19.5" hidden="1" customHeight="1">
      <c r="A374" s="7" t="str">
        <f>IF(ASV_Daten!A376="","",ASV_Daten!A376)</f>
        <v>R9A</v>
      </c>
      <c r="B374" s="7" t="str">
        <f>IF(ASV_Daten!B376="","",ASV_Daten!B376)</f>
        <v>Trumpold</v>
      </c>
      <c r="C374" s="7" t="str">
        <f>IF(ASV_Daten!C376="","",ASV_Daten!C376)</f>
        <v>Matilda</v>
      </c>
      <c r="D374" s="7">
        <f>IF(ASV_Daten!D376="","",ASV_Daten!D376)</f>
        <v>2010</v>
      </c>
      <c r="E374" s="7" t="str">
        <f>IF(ASV_Daten!E376="","",ASV_Daten!E376)</f>
        <v>W</v>
      </c>
      <c r="F374" s="8" t="str">
        <f t="shared" si="1"/>
        <v>9</v>
      </c>
      <c r="G374" s="9">
        <f t="shared" si="2"/>
        <v>16</v>
      </c>
      <c r="H374" s="27"/>
      <c r="I374" s="11">
        <f t="shared" si="3"/>
        <v>0</v>
      </c>
      <c r="J374" s="11"/>
      <c r="K374" s="11">
        <f t="shared" si="11"/>
        <v>0</v>
      </c>
      <c r="L374" s="11"/>
      <c r="M374" s="11">
        <f t="shared" si="5"/>
        <v>0</v>
      </c>
      <c r="N374" s="11"/>
      <c r="O374" s="11">
        <f t="shared" si="6"/>
        <v>0</v>
      </c>
      <c r="P374" s="11" t="str">
        <f t="shared" si="7"/>
        <v>Punkte W 7-9</v>
      </c>
      <c r="Q374" s="11" t="str">
        <f t="shared" si="8"/>
        <v>Noten-Matrix-Mädchen</v>
      </c>
      <c r="R374" s="13">
        <f t="shared" si="9"/>
        <v>0</v>
      </c>
      <c r="S374" s="11" t="str">
        <f>IF(R374=0, "Keine Teilnahme", IFERROR(IF(R374&gt;=VLOOKUP(G374&amp;LOWER(E374), Formeln!$H$2:$K$30, 4, FALSE), "Ehrenurkunde", IF(R374&gt;=VLOOKUP(G374&amp;LOWER(E374), Formeln!$H$2:$K$30, 3, FALSE), "Siegerurkunde", "Teilnehmerurkunde")), "Keine Urkunde"))</f>
        <v>Keine Teilnahme</v>
      </c>
      <c r="T374" s="14" t="str">
        <f t="shared" si="10"/>
        <v>Keine Teilnahme</v>
      </c>
    </row>
    <row r="375" ht="19.5" hidden="1" customHeight="1">
      <c r="A375" s="15" t="str">
        <f>IF(ASV_Daten!A369="","",ASV_Daten!A369)</f>
        <v>R9A</v>
      </c>
      <c r="B375" s="15" t="str">
        <f>IF(ASV_Daten!B369="","",ASV_Daten!B369)</f>
        <v>Laraki</v>
      </c>
      <c r="C375" s="15" t="str">
        <f>IF(ASV_Daten!C369="","",ASV_Daten!C369)</f>
        <v>Nora</v>
      </c>
      <c r="D375" s="15">
        <f>IF(ASV_Daten!D369="","",ASV_Daten!D369)</f>
        <v>2011</v>
      </c>
      <c r="E375" s="15" t="str">
        <f>IF(ASV_Daten!E369="","",ASV_Daten!E369)</f>
        <v>W</v>
      </c>
      <c r="F375" s="16" t="str">
        <f t="shared" si="1"/>
        <v>9</v>
      </c>
      <c r="G375" s="17">
        <f t="shared" si="2"/>
        <v>15</v>
      </c>
      <c r="H375" s="25"/>
      <c r="I375" s="19">
        <f t="shared" si="3"/>
        <v>0</v>
      </c>
      <c r="J375" s="19"/>
      <c r="K375" s="19">
        <f t="shared" si="11"/>
        <v>0</v>
      </c>
      <c r="L375" s="19"/>
      <c r="M375" s="19">
        <f t="shared" si="5"/>
        <v>0</v>
      </c>
      <c r="N375" s="19"/>
      <c r="O375" s="19">
        <f t="shared" si="6"/>
        <v>0</v>
      </c>
      <c r="P375" s="19" t="str">
        <f t="shared" si="7"/>
        <v>Punkte W 7-9</v>
      </c>
      <c r="Q375" s="19" t="str">
        <f t="shared" si="8"/>
        <v>Noten-Matrix-Mädchen</v>
      </c>
      <c r="R375" s="21">
        <f t="shared" si="9"/>
        <v>0</v>
      </c>
      <c r="S375" s="19" t="str">
        <f>IF(R375=0, "Keine Teilnahme", IFERROR(IF(R375&gt;=VLOOKUP(G375&amp;LOWER(E375), Formeln!$H$2:$K$30, 4, FALSE), "Ehrenurkunde", IF(R375&gt;=VLOOKUP(G375&amp;LOWER(E375), Formeln!$H$2:$K$30, 3, FALSE), "Siegerurkunde", "Teilnehmerurkunde")), "Keine Urkunde"))</f>
        <v>Keine Teilnahme</v>
      </c>
      <c r="T375" s="22" t="str">
        <f t="shared" si="10"/>
        <v>Keine Teilnahme</v>
      </c>
    </row>
    <row r="376" ht="19.5" hidden="1" customHeight="1">
      <c r="A376" s="7" t="str">
        <f>IF(ASV_Daten!A361="","",ASV_Daten!A361)</f>
        <v>R9A</v>
      </c>
      <c r="B376" s="7" t="str">
        <f>IF(ASV_Daten!B361="","",ASV_Daten!B361)</f>
        <v>Fehrenbach</v>
      </c>
      <c r="C376" s="7" t="str">
        <f>IF(ASV_Daten!C361="","",ASV_Daten!C361)</f>
        <v>Salome</v>
      </c>
      <c r="D376" s="7">
        <f>IF(ASV_Daten!D361="","",ASV_Daten!D361)</f>
        <v>2010</v>
      </c>
      <c r="E376" s="7" t="str">
        <f>IF(ASV_Daten!E361="","",ASV_Daten!E361)</f>
        <v>W</v>
      </c>
      <c r="F376" s="8" t="str">
        <f t="shared" si="1"/>
        <v>9</v>
      </c>
      <c r="G376" s="9">
        <f t="shared" si="2"/>
        <v>16</v>
      </c>
      <c r="H376" s="10">
        <v>0.13402777777777777</v>
      </c>
      <c r="I376" s="11">
        <f t="shared" si="3"/>
        <v>324</v>
      </c>
      <c r="J376" s="12">
        <v>11.6</v>
      </c>
      <c r="K376" s="11">
        <f t="shared" si="11"/>
        <v>354</v>
      </c>
      <c r="L376" s="12">
        <v>3.53</v>
      </c>
      <c r="M376" s="11">
        <f t="shared" si="5"/>
        <v>377</v>
      </c>
      <c r="N376" s="12">
        <v>18.0</v>
      </c>
      <c r="O376" s="11">
        <f t="shared" si="6"/>
        <v>272</v>
      </c>
      <c r="P376" s="11" t="str">
        <f t="shared" si="7"/>
        <v>Punkte W 7-9</v>
      </c>
      <c r="Q376" s="11" t="str">
        <f t="shared" si="8"/>
        <v>Noten-Matrix-Mädchen</v>
      </c>
      <c r="R376" s="13">
        <f t="shared" si="9"/>
        <v>1055</v>
      </c>
      <c r="S376" s="11" t="str">
        <f>IF(R376=0, "Keine Teilnahme", IFERROR(IF(R376&gt;=VLOOKUP(G376&amp;LOWER(E376), Formeln!$H$2:$K$30, 4, FALSE), "Ehrenurkunde", IF(R376&gt;=VLOOKUP(G376&amp;LOWER(E376), Formeln!$H$2:$K$30, 3, FALSE), "Siegerurkunde", "Teilnehmerurkunde")), "Keine Urkunde"))</f>
        <v>Siegerurkunde</v>
      </c>
      <c r="T376" s="14">
        <f t="shared" si="10"/>
        <v>1.8</v>
      </c>
    </row>
    <row r="377" ht="19.5" hidden="1" customHeight="1">
      <c r="A377" s="15" t="str">
        <f>IF(ASV_Daten!A374="","",ASV_Daten!A374)</f>
        <v>R9A</v>
      </c>
      <c r="B377" s="15" t="str">
        <f>IF(ASV_Daten!B374="","",ASV_Daten!B374)</f>
        <v>Schuler</v>
      </c>
      <c r="C377" s="15" t="str">
        <f>IF(ASV_Daten!C374="","",ASV_Daten!C374)</f>
        <v>Theresa</v>
      </c>
      <c r="D377" s="15">
        <f>IF(ASV_Daten!D374="","",ASV_Daten!D374)</f>
        <v>2011</v>
      </c>
      <c r="E377" s="15" t="str">
        <f>IF(ASV_Daten!E374="","",ASV_Daten!E374)</f>
        <v>W</v>
      </c>
      <c r="F377" s="16" t="str">
        <f t="shared" si="1"/>
        <v>9</v>
      </c>
      <c r="G377" s="17">
        <f t="shared" si="2"/>
        <v>15</v>
      </c>
      <c r="H377" s="19"/>
      <c r="I377" s="19">
        <f t="shared" si="3"/>
        <v>0</v>
      </c>
      <c r="J377" s="20">
        <v>11.6</v>
      </c>
      <c r="K377" s="19">
        <f t="shared" si="11"/>
        <v>354</v>
      </c>
      <c r="L377" s="20">
        <v>3.93</v>
      </c>
      <c r="M377" s="19">
        <f t="shared" si="5"/>
        <v>427</v>
      </c>
      <c r="N377" s="20">
        <v>18.0</v>
      </c>
      <c r="O377" s="19">
        <f t="shared" si="6"/>
        <v>272</v>
      </c>
      <c r="P377" s="19" t="str">
        <f t="shared" si="7"/>
        <v>Punkte W 7-9</v>
      </c>
      <c r="Q377" s="19" t="str">
        <f t="shared" si="8"/>
        <v>Noten-Matrix-Mädchen</v>
      </c>
      <c r="R377" s="21">
        <f t="shared" si="9"/>
        <v>1053</v>
      </c>
      <c r="S377" s="19" t="str">
        <f>IF(R377=0, "Keine Teilnahme", IFERROR(IF(R377&gt;=VLOOKUP(G377&amp;LOWER(E377), Formeln!$H$2:$K$30, 4, FALSE), "Ehrenurkunde", IF(R377&gt;=VLOOKUP(G377&amp;LOWER(E377), Formeln!$H$2:$K$30, 3, FALSE), "Siegerurkunde", "Teilnehmerurkunde")), "Keine Urkunde"))</f>
        <v>Siegerurkunde</v>
      </c>
      <c r="T377" s="22">
        <f t="shared" si="10"/>
        <v>1.7</v>
      </c>
    </row>
    <row r="378" ht="19.5" hidden="1" customHeight="1">
      <c r="A378" s="7" t="str">
        <f>IF(ASV_Daten!A363="","",ASV_Daten!A363)</f>
        <v>R9A</v>
      </c>
      <c r="B378" s="7" t="str">
        <f>IF(ASV_Daten!B363="","",ASV_Daten!B363)</f>
        <v>Hättich</v>
      </c>
      <c r="C378" s="7" t="str">
        <f>IF(ASV_Daten!C363="","",ASV_Daten!C363)</f>
        <v>Timon</v>
      </c>
      <c r="D378" s="7">
        <f>IF(ASV_Daten!D363="","",ASV_Daten!D363)</f>
        <v>2011</v>
      </c>
      <c r="E378" s="7" t="str">
        <f>IF(ASV_Daten!E363="","",ASV_Daten!E363)</f>
        <v>M</v>
      </c>
      <c r="F378" s="8" t="str">
        <f t="shared" si="1"/>
        <v>9</v>
      </c>
      <c r="G378" s="9">
        <f t="shared" si="2"/>
        <v>15</v>
      </c>
      <c r="H378" s="11"/>
      <c r="I378" s="11">
        <f t="shared" si="3"/>
        <v>0</v>
      </c>
      <c r="J378" s="12">
        <v>11.3</v>
      </c>
      <c r="K378" s="11">
        <f t="shared" si="11"/>
        <v>361</v>
      </c>
      <c r="L378" s="12">
        <v>3.93</v>
      </c>
      <c r="M378" s="11">
        <f t="shared" si="5"/>
        <v>379</v>
      </c>
      <c r="N378" s="12">
        <v>31.5</v>
      </c>
      <c r="O378" s="11">
        <f t="shared" si="6"/>
        <v>296</v>
      </c>
      <c r="P378" s="11" t="str">
        <f t="shared" si="7"/>
        <v>Punkte M 7-9</v>
      </c>
      <c r="Q378" s="11" t="str">
        <f t="shared" si="8"/>
        <v>Noten-Matrix-Jungen</v>
      </c>
      <c r="R378" s="13">
        <f t="shared" si="9"/>
        <v>1036</v>
      </c>
      <c r="S378" s="11" t="str">
        <f>IF(R378=0, "Keine Teilnahme", IFERROR(IF(R378&gt;=VLOOKUP(G378&amp;LOWER(E378), Formeln!$H$2:$K$30, 4, FALSE), "Ehrenurkunde", IF(R378&gt;=VLOOKUP(G378&amp;LOWER(E378), Formeln!$H$2:$K$30, 3, FALSE), "Siegerurkunde", "Teilnehmerurkunde")), "Keine Urkunde"))</f>
        <v>Siegerurkunde</v>
      </c>
      <c r="T378" s="14">
        <f t="shared" si="10"/>
        <v>2.4</v>
      </c>
    </row>
    <row r="379" ht="19.5" hidden="1" customHeight="1">
      <c r="A379" s="15" t="str">
        <f>IF(ASV_Daten!A364="","",ASV_Daten!A364)</f>
        <v>R9A</v>
      </c>
      <c r="B379" s="15" t="str">
        <f>IF(ASV_Daten!B364="","",ASV_Daten!B364)</f>
        <v>Hejri</v>
      </c>
      <c r="C379" s="15" t="str">
        <f>IF(ASV_Daten!C364="","",ASV_Daten!C364)</f>
        <v>Toba</v>
      </c>
      <c r="D379" s="15">
        <f>IF(ASV_Daten!D364="","",ASV_Daten!D364)</f>
        <v>2010</v>
      </c>
      <c r="E379" s="15" t="str">
        <f>IF(ASV_Daten!E364="","",ASV_Daten!E364)</f>
        <v>W</v>
      </c>
      <c r="F379" s="16" t="str">
        <f t="shared" si="1"/>
        <v>9</v>
      </c>
      <c r="G379" s="17">
        <f t="shared" si="2"/>
        <v>16</v>
      </c>
      <c r="H379" s="25"/>
      <c r="I379" s="19">
        <f t="shared" si="3"/>
        <v>0</v>
      </c>
      <c r="J379" s="19"/>
      <c r="K379" s="19">
        <f t="shared" si="11"/>
        <v>0</v>
      </c>
      <c r="L379" s="19"/>
      <c r="M379" s="19">
        <f t="shared" si="5"/>
        <v>0</v>
      </c>
      <c r="N379" s="19"/>
      <c r="O379" s="19">
        <f t="shared" si="6"/>
        <v>0</v>
      </c>
      <c r="P379" s="19" t="str">
        <f t="shared" si="7"/>
        <v>Punkte W 7-9</v>
      </c>
      <c r="Q379" s="19" t="str">
        <f t="shared" si="8"/>
        <v>Noten-Matrix-Mädchen</v>
      </c>
      <c r="R379" s="21">
        <f t="shared" si="9"/>
        <v>0</v>
      </c>
      <c r="S379" s="19" t="str">
        <f>IF(R379=0, "Keine Teilnahme", IFERROR(IF(R379&gt;=VLOOKUP(G379&amp;LOWER(E379), Formeln!$H$2:$K$30, 4, FALSE), "Ehrenurkunde", IF(R379&gt;=VLOOKUP(G379&amp;LOWER(E379), Formeln!$H$2:$K$30, 3, FALSE), "Siegerurkunde", "Teilnehmerurkunde")), "Keine Urkunde"))</f>
        <v>Keine Teilnahme</v>
      </c>
      <c r="T379" s="22" t="str">
        <f t="shared" si="10"/>
        <v>Keine Teilnahme</v>
      </c>
    </row>
    <row r="380" ht="19.5" hidden="1" customHeight="1">
      <c r="A380" s="7" t="str">
        <f>IF(ASV_Daten!A355="","",ASV_Daten!A355)</f>
        <v>R9A</v>
      </c>
      <c r="B380" s="7" t="str">
        <f>IF(ASV_Daten!B355="","",ASV_Daten!B355)</f>
        <v>Bilokur</v>
      </c>
      <c r="C380" s="7" t="str">
        <f>IF(ASV_Daten!C355="","",ASV_Daten!C355)</f>
        <v>Yeva</v>
      </c>
      <c r="D380" s="7">
        <f>IF(ASV_Daten!D355="","",ASV_Daten!D355)</f>
        <v>2010</v>
      </c>
      <c r="E380" s="7" t="str">
        <f>IF(ASV_Daten!E355="","",ASV_Daten!E355)</f>
        <v>W</v>
      </c>
      <c r="F380" s="8" t="str">
        <f t="shared" si="1"/>
        <v>9</v>
      </c>
      <c r="G380" s="9">
        <f t="shared" si="2"/>
        <v>16</v>
      </c>
      <c r="H380" s="27"/>
      <c r="I380" s="11">
        <f t="shared" si="3"/>
        <v>0</v>
      </c>
      <c r="J380" s="12">
        <v>11.2</v>
      </c>
      <c r="K380" s="11">
        <f t="shared" si="11"/>
        <v>387</v>
      </c>
      <c r="L380" s="12">
        <v>4.21</v>
      </c>
      <c r="M380" s="11">
        <f t="shared" si="5"/>
        <v>460</v>
      </c>
      <c r="N380" s="12">
        <v>18.0</v>
      </c>
      <c r="O380" s="11">
        <f t="shared" si="6"/>
        <v>272</v>
      </c>
      <c r="P380" s="11" t="str">
        <f t="shared" si="7"/>
        <v>Punkte W 7-9</v>
      </c>
      <c r="Q380" s="11" t="str">
        <f t="shared" si="8"/>
        <v>Noten-Matrix-Mädchen</v>
      </c>
      <c r="R380" s="13">
        <f t="shared" si="9"/>
        <v>1119</v>
      </c>
      <c r="S380" s="11" t="str">
        <f>IF(R380=0, "Keine Teilnahme", IFERROR(IF(R380&gt;=VLOOKUP(G380&amp;LOWER(E380), Formeln!$H$2:$K$30, 4, FALSE), "Ehrenurkunde", IF(R380&gt;=VLOOKUP(G380&amp;LOWER(E380), Formeln!$H$2:$K$30, 3, FALSE), "Siegerurkunde", "Teilnehmerurkunde")), "Keine Urkunde"))</f>
        <v>Ehrenurkunde</v>
      </c>
      <c r="T380" s="14">
        <f t="shared" si="10"/>
        <v>1.5</v>
      </c>
    </row>
    <row r="381" ht="19.5" hidden="1" customHeight="1">
      <c r="A381" s="15" t="str">
        <f>IF(ASV_Daten!A395="","",ASV_Daten!A395)</f>
        <v>R9B</v>
      </c>
      <c r="B381" s="15" t="str">
        <f>IF(ASV_Daten!B395="","",ASV_Daten!B395)</f>
        <v>Schanz</v>
      </c>
      <c r="C381" s="15" t="str">
        <f>IF(ASV_Daten!C395="","",ASV_Daten!C395)</f>
        <v>Aris</v>
      </c>
      <c r="D381" s="35">
        <f>IF(ASV_Daten!D395="","",ASV_Daten!D395)</f>
        <v>2011</v>
      </c>
      <c r="E381" s="15" t="str">
        <f>IF(ASV_Daten!E395="","",ASV_Daten!E395)</f>
        <v>M</v>
      </c>
      <c r="F381" s="16" t="str">
        <f t="shared" si="1"/>
        <v>9</v>
      </c>
      <c r="G381" s="17">
        <f t="shared" si="2"/>
        <v>15</v>
      </c>
      <c r="H381" s="19"/>
      <c r="I381" s="19">
        <f t="shared" si="3"/>
        <v>0</v>
      </c>
      <c r="J381" s="20">
        <v>11.2</v>
      </c>
      <c r="K381" s="19">
        <f t="shared" si="11"/>
        <v>369</v>
      </c>
      <c r="L381" s="20">
        <v>4.33</v>
      </c>
      <c r="M381" s="19">
        <f t="shared" si="5"/>
        <v>424</v>
      </c>
      <c r="N381" s="20">
        <v>35.0</v>
      </c>
      <c r="O381" s="19">
        <f t="shared" si="6"/>
        <v>320</v>
      </c>
      <c r="P381" s="19" t="str">
        <f t="shared" si="7"/>
        <v>Punkte M 7-9</v>
      </c>
      <c r="Q381" s="19" t="str">
        <f t="shared" si="8"/>
        <v>Noten-Matrix-Jungen</v>
      </c>
      <c r="R381" s="21">
        <f t="shared" si="9"/>
        <v>1113</v>
      </c>
      <c r="S381" s="19" t="str">
        <f>IF(R381=0, "Keine Teilnahme", IFERROR(IF(R381&gt;=VLOOKUP(G381&amp;LOWER(E381), Formeln!$H$2:$K$30, 4, FALSE), "Ehrenurkunde", IF(R381&gt;=VLOOKUP(G381&amp;LOWER(E381), Formeln!$H$2:$K$30, 3, FALSE), "Siegerurkunde", "Teilnehmerurkunde")), "Keine Urkunde"))</f>
        <v>Siegerurkunde</v>
      </c>
      <c r="T381" s="22">
        <f t="shared" si="10"/>
        <v>2.1</v>
      </c>
    </row>
    <row r="382" ht="19.5" hidden="1" customHeight="1">
      <c r="A382" s="7" t="str">
        <f>IF(ASV_Daten!A389="","",ASV_Daten!A389)</f>
        <v>R9B</v>
      </c>
      <c r="B382" s="7" t="str">
        <f>IF(ASV_Daten!B389="","",ASV_Daten!B389)</f>
        <v>Kratzner</v>
      </c>
      <c r="C382" s="7" t="str">
        <f>IF(ASV_Daten!C389="","",ASV_Daten!C389)</f>
        <v>Arvid</v>
      </c>
      <c r="D382" s="34">
        <f>IF(ASV_Daten!D389="","",ASV_Daten!D389)</f>
        <v>2010</v>
      </c>
      <c r="E382" s="7" t="str">
        <f>IF(ASV_Daten!E389="","",ASV_Daten!E389)</f>
        <v>M</v>
      </c>
      <c r="F382" s="8" t="str">
        <f t="shared" si="1"/>
        <v>9</v>
      </c>
      <c r="G382" s="9">
        <f t="shared" si="2"/>
        <v>16</v>
      </c>
      <c r="H382" s="27"/>
      <c r="I382" s="11">
        <f t="shared" si="3"/>
        <v>0</v>
      </c>
      <c r="J382" s="11"/>
      <c r="K382" s="11">
        <f t="shared" si="11"/>
        <v>0</v>
      </c>
      <c r="L382" s="12">
        <v>4.65</v>
      </c>
      <c r="M382" s="11">
        <f t="shared" si="5"/>
        <v>459</v>
      </c>
      <c r="N382" s="12">
        <v>38.0</v>
      </c>
      <c r="O382" s="11">
        <f t="shared" si="6"/>
        <v>341</v>
      </c>
      <c r="P382" s="11" t="str">
        <f t="shared" si="7"/>
        <v>Punkte M 7-9</v>
      </c>
      <c r="Q382" s="11" t="str">
        <f t="shared" si="8"/>
        <v>Noten-Matrix-Jungen</v>
      </c>
      <c r="R382" s="13">
        <f t="shared" si="9"/>
        <v>800</v>
      </c>
      <c r="S382" s="11" t="str">
        <f>IF(R382=0, "Keine Teilnahme", IFERROR(IF(R382&gt;=VLOOKUP(G382&amp;LOWER(E382), Formeln!$H$2:$K$30, 4, FALSE), "Ehrenurkunde", IF(R382&gt;=VLOOKUP(G382&amp;LOWER(E382), Formeln!$H$2:$K$30, 3, FALSE), "Siegerurkunde", "Teilnehmerurkunde")), "Keine Urkunde"))</f>
        <v>Teilnehmerurkunde</v>
      </c>
      <c r="T382" s="14" t="str">
        <f t="shared" si="10"/>
        <v>NOTE</v>
      </c>
    </row>
    <row r="383" ht="19.5" hidden="1" customHeight="1">
      <c r="A383" s="15" t="str">
        <f>IF(ASV_Daten!A400="","",ASV_Daten!A400)</f>
        <v>R9B</v>
      </c>
      <c r="B383" s="15" t="str">
        <f>IF(ASV_Daten!B400="","",ASV_Daten!B400)</f>
        <v>Von Oppen</v>
      </c>
      <c r="C383" s="15" t="str">
        <f>IF(ASV_Daten!C400="","",ASV_Daten!C400)</f>
        <v>Benjamin</v>
      </c>
      <c r="D383" s="35">
        <f>IF(ASV_Daten!D400="","",ASV_Daten!D400)</f>
        <v>2010</v>
      </c>
      <c r="E383" s="15" t="str">
        <f>IF(ASV_Daten!E400="","",ASV_Daten!E400)</f>
        <v>M</v>
      </c>
      <c r="F383" s="16" t="str">
        <f t="shared" si="1"/>
        <v>9</v>
      </c>
      <c r="G383" s="17">
        <f t="shared" si="2"/>
        <v>16</v>
      </c>
      <c r="H383" s="19"/>
      <c r="I383" s="19">
        <f t="shared" si="3"/>
        <v>0</v>
      </c>
      <c r="J383" s="19"/>
      <c r="K383" s="19">
        <f t="shared" si="11"/>
        <v>0</v>
      </c>
      <c r="L383" s="19"/>
      <c r="M383" s="19">
        <f t="shared" si="5"/>
        <v>0</v>
      </c>
      <c r="N383" s="19"/>
      <c r="O383" s="19">
        <f t="shared" si="6"/>
        <v>0</v>
      </c>
      <c r="P383" s="19" t="str">
        <f t="shared" si="7"/>
        <v>Punkte M 7-9</v>
      </c>
      <c r="Q383" s="19" t="str">
        <f t="shared" si="8"/>
        <v>Noten-Matrix-Jungen</v>
      </c>
      <c r="R383" s="21">
        <f t="shared" si="9"/>
        <v>0</v>
      </c>
      <c r="S383" s="19" t="str">
        <f>IF(R383=0, "Keine Teilnahme", IFERROR(IF(R383&gt;=VLOOKUP(G383&amp;LOWER(E383), Formeln!$H$2:$K$30, 4, FALSE), "Ehrenurkunde", IF(R383&gt;=VLOOKUP(G383&amp;LOWER(E383), Formeln!$H$2:$K$30, 3, FALSE), "Siegerurkunde", "Teilnehmerurkunde")), "Keine Urkunde"))</f>
        <v>Keine Teilnahme</v>
      </c>
      <c r="T383" s="22" t="str">
        <f t="shared" si="10"/>
        <v>Keine Teilnahme</v>
      </c>
    </row>
    <row r="384" ht="19.5" hidden="1" customHeight="1">
      <c r="A384" s="7" t="str">
        <f>IF(ASV_Daten!A381="","",ASV_Daten!A381)</f>
        <v>R9B</v>
      </c>
      <c r="B384" s="7" t="str">
        <f>IF(ASV_Daten!B381="","",ASV_Daten!B381)</f>
        <v>Balint</v>
      </c>
      <c r="C384" s="7" t="str">
        <f>IF(ASV_Daten!C381="","",ASV_Daten!C381)</f>
        <v>Boglarka</v>
      </c>
      <c r="D384" s="34">
        <f>IF(ASV_Daten!D381="","",ASV_Daten!D381)</f>
        <v>2010</v>
      </c>
      <c r="E384" s="7" t="str">
        <f>IF(ASV_Daten!E381="","",ASV_Daten!E381)</f>
        <v>W</v>
      </c>
      <c r="F384" s="8" t="str">
        <f t="shared" si="1"/>
        <v>9</v>
      </c>
      <c r="G384" s="9">
        <f t="shared" si="2"/>
        <v>16</v>
      </c>
      <c r="H384" s="11"/>
      <c r="I384" s="11">
        <f t="shared" si="3"/>
        <v>0</v>
      </c>
      <c r="J384" s="12">
        <v>12.6</v>
      </c>
      <c r="K384" s="11">
        <f t="shared" si="11"/>
        <v>279</v>
      </c>
      <c r="L384" s="12">
        <v>3.29</v>
      </c>
      <c r="M384" s="11">
        <f t="shared" si="5"/>
        <v>346</v>
      </c>
      <c r="N384" s="12">
        <v>15.0</v>
      </c>
      <c r="O384" s="11">
        <f t="shared" si="6"/>
        <v>236</v>
      </c>
      <c r="P384" s="11" t="str">
        <f t="shared" si="7"/>
        <v>Punkte W 7-9</v>
      </c>
      <c r="Q384" s="11" t="str">
        <f t="shared" si="8"/>
        <v>Noten-Matrix-Mädchen</v>
      </c>
      <c r="R384" s="13">
        <f t="shared" si="9"/>
        <v>861</v>
      </c>
      <c r="S384" s="11" t="str">
        <f>IF(R384=0, "Keine Teilnahme", IFERROR(IF(R384&gt;=VLOOKUP(G384&amp;LOWER(E384), Formeln!$H$2:$K$30, 4, FALSE), "Ehrenurkunde", IF(R384&gt;=VLOOKUP(G384&amp;LOWER(E384), Formeln!$H$2:$K$30, 3, FALSE), "Siegerurkunde", "Teilnehmerurkunde")), "Keine Urkunde"))</f>
        <v>Teilnehmerurkunde</v>
      </c>
      <c r="T384" s="14">
        <f t="shared" si="10"/>
        <v>3</v>
      </c>
    </row>
    <row r="385" ht="19.5" hidden="1" customHeight="1">
      <c r="A385" s="15" t="str">
        <f>IF(ASV_Daten!A383="","",ASV_Daten!A383)</f>
        <v>R9B</v>
      </c>
      <c r="B385" s="15" t="str">
        <f>IF(ASV_Daten!B383="","",ASV_Daten!B383)</f>
        <v>De Lima Wettlin</v>
      </c>
      <c r="C385" s="15" t="str">
        <f>IF(ASV_Daten!C383="","",ASV_Daten!C383)</f>
        <v>Daniel</v>
      </c>
      <c r="D385" s="35">
        <f>IF(ASV_Daten!D383="","",ASV_Daten!D383)</f>
        <v>2010</v>
      </c>
      <c r="E385" s="15" t="str">
        <f>IF(ASV_Daten!E383="","",ASV_Daten!E383)</f>
        <v>M</v>
      </c>
      <c r="F385" s="16" t="str">
        <f t="shared" si="1"/>
        <v>9</v>
      </c>
      <c r="G385" s="17">
        <f t="shared" si="2"/>
        <v>16</v>
      </c>
      <c r="H385" s="25"/>
      <c r="I385" s="19">
        <f t="shared" si="3"/>
        <v>0</v>
      </c>
      <c r="J385" s="19"/>
      <c r="K385" s="19">
        <f t="shared" si="11"/>
        <v>0</v>
      </c>
      <c r="L385" s="20">
        <v>4.13</v>
      </c>
      <c r="M385" s="19">
        <f t="shared" si="5"/>
        <v>402</v>
      </c>
      <c r="N385" s="20">
        <v>35.0</v>
      </c>
      <c r="O385" s="19">
        <f t="shared" si="6"/>
        <v>320</v>
      </c>
      <c r="P385" s="19" t="str">
        <f t="shared" si="7"/>
        <v>Punkte M 7-9</v>
      </c>
      <c r="Q385" s="19" t="str">
        <f t="shared" si="8"/>
        <v>Noten-Matrix-Jungen</v>
      </c>
      <c r="R385" s="21">
        <f t="shared" si="9"/>
        <v>722</v>
      </c>
      <c r="S385" s="19" t="str">
        <f>IF(R385=0, "Keine Teilnahme", IFERROR(IF(R385&gt;=VLOOKUP(G385&amp;LOWER(E385), Formeln!$H$2:$K$30, 4, FALSE), "Ehrenurkunde", IF(R385&gt;=VLOOKUP(G385&amp;LOWER(E385), Formeln!$H$2:$K$30, 3, FALSE), "Siegerurkunde", "Teilnehmerurkunde")), "Keine Urkunde"))</f>
        <v>Teilnehmerurkunde</v>
      </c>
      <c r="T385" s="22" t="str">
        <f t="shared" si="10"/>
        <v>NOTE</v>
      </c>
    </row>
    <row r="386" ht="19.5" hidden="1" customHeight="1">
      <c r="A386" s="7" t="str">
        <f>IF(ASV_Daten!A384="","",ASV_Daten!A384)</f>
        <v>R9B</v>
      </c>
      <c r="B386" s="7" t="str">
        <f>IF(ASV_Daten!B384="","",ASV_Daten!B384)</f>
        <v>de Sousa</v>
      </c>
      <c r="C386" s="7" t="str">
        <f>IF(ASV_Daten!C384="","",ASV_Daten!C384)</f>
        <v>Elias</v>
      </c>
      <c r="D386" s="34">
        <f>IF(ASV_Daten!D384="","",ASV_Daten!D384)</f>
        <v>2011</v>
      </c>
      <c r="E386" s="7" t="str">
        <f>IF(ASV_Daten!E384="","",ASV_Daten!E384)</f>
        <v>M</v>
      </c>
      <c r="F386" s="8" t="str">
        <f t="shared" si="1"/>
        <v>9</v>
      </c>
      <c r="G386" s="9">
        <f t="shared" si="2"/>
        <v>15</v>
      </c>
      <c r="H386" s="11"/>
      <c r="I386" s="11">
        <f t="shared" si="3"/>
        <v>0</v>
      </c>
      <c r="J386" s="12"/>
      <c r="K386" s="11">
        <f t="shared" si="11"/>
        <v>0</v>
      </c>
      <c r="L386" s="12">
        <v>4.53</v>
      </c>
      <c r="M386" s="11">
        <f t="shared" si="5"/>
        <v>446</v>
      </c>
      <c r="N386" s="12">
        <v>39.0</v>
      </c>
      <c r="O386" s="11">
        <f t="shared" si="6"/>
        <v>347</v>
      </c>
      <c r="P386" s="11" t="str">
        <f t="shared" si="7"/>
        <v>Punkte M 7-9</v>
      </c>
      <c r="Q386" s="11" t="str">
        <f t="shared" si="8"/>
        <v>Noten-Matrix-Jungen</v>
      </c>
      <c r="R386" s="13">
        <f t="shared" si="9"/>
        <v>793</v>
      </c>
      <c r="S386" s="11" t="str">
        <f>IF(R386=0, "Keine Teilnahme", IFERROR(IF(R386&gt;=VLOOKUP(G386&amp;LOWER(E386), Formeln!$H$2:$K$30, 4, FALSE), "Ehrenurkunde", IF(R386&gt;=VLOOKUP(G386&amp;LOWER(E386), Formeln!$H$2:$K$30, 3, FALSE), "Siegerurkunde", "Teilnehmerurkunde")), "Keine Urkunde"))</f>
        <v>Teilnehmerurkunde</v>
      </c>
      <c r="T386" s="14">
        <f t="shared" si="10"/>
        <v>4.2</v>
      </c>
    </row>
    <row r="387" ht="19.5" hidden="1" customHeight="1">
      <c r="A387" s="15" t="str">
        <f>IF(ASV_Daten!A393="","",ASV_Daten!A393)</f>
        <v>R9B</v>
      </c>
      <c r="B387" s="15" t="str">
        <f>IF(ASV_Daten!B393="","",ASV_Daten!B393)</f>
        <v>Rombach</v>
      </c>
      <c r="C387" s="15" t="str">
        <f>IF(ASV_Daten!C393="","",ASV_Daten!C393)</f>
        <v>Felix</v>
      </c>
      <c r="D387" s="35">
        <f>IF(ASV_Daten!D393="","",ASV_Daten!D393)</f>
        <v>2011</v>
      </c>
      <c r="E387" s="15" t="str">
        <f>IF(ASV_Daten!E393="","",ASV_Daten!E393)</f>
        <v>M</v>
      </c>
      <c r="F387" s="16" t="str">
        <f t="shared" si="1"/>
        <v>9</v>
      </c>
      <c r="G387" s="17">
        <f t="shared" si="2"/>
        <v>15</v>
      </c>
      <c r="H387" s="19"/>
      <c r="I387" s="19">
        <f t="shared" si="3"/>
        <v>0</v>
      </c>
      <c r="J387" s="20">
        <v>10.4</v>
      </c>
      <c r="K387" s="19">
        <f t="shared" si="11"/>
        <v>444</v>
      </c>
      <c r="L387" s="20">
        <v>4.73</v>
      </c>
      <c r="M387" s="19">
        <f t="shared" si="5"/>
        <v>467</v>
      </c>
      <c r="N387" s="20">
        <v>36.0</v>
      </c>
      <c r="O387" s="19">
        <f t="shared" si="6"/>
        <v>327</v>
      </c>
      <c r="P387" s="19" t="str">
        <f t="shared" si="7"/>
        <v>Punkte M 7-9</v>
      </c>
      <c r="Q387" s="19" t="str">
        <f t="shared" si="8"/>
        <v>Noten-Matrix-Jungen</v>
      </c>
      <c r="R387" s="21">
        <f t="shared" si="9"/>
        <v>1238</v>
      </c>
      <c r="S387" s="19" t="str">
        <f>IF(R387=0, "Keine Teilnahme", IFERROR(IF(R387&gt;=VLOOKUP(G387&amp;LOWER(E387), Formeln!$H$2:$K$30, 4, FALSE), "Ehrenurkunde", IF(R387&gt;=VLOOKUP(G387&amp;LOWER(E387), Formeln!$H$2:$K$30, 3, FALSE), "Siegerurkunde", "Teilnehmerurkunde")), "Keine Urkunde"))</f>
        <v>Siegerurkunde</v>
      </c>
      <c r="T387" s="22">
        <f t="shared" si="10"/>
        <v>1.5</v>
      </c>
    </row>
    <row r="388" ht="19.5" hidden="1" customHeight="1">
      <c r="A388" s="7" t="str">
        <f>IF(ASV_Daten!A396="","",ASV_Daten!A396)</f>
        <v>R9B</v>
      </c>
      <c r="B388" s="7" t="str">
        <f>IF(ASV_Daten!B396="","",ASV_Daten!B396)</f>
        <v>Schwörer</v>
      </c>
      <c r="C388" s="7" t="str">
        <f>IF(ASV_Daten!C396="","",ASV_Daten!C396)</f>
        <v>Finja</v>
      </c>
      <c r="D388" s="34">
        <f>IF(ASV_Daten!D396="","",ASV_Daten!D396)</f>
        <v>2011</v>
      </c>
      <c r="E388" s="7" t="str">
        <f>IF(ASV_Daten!E396="","",ASV_Daten!E396)</f>
        <v>W</v>
      </c>
      <c r="F388" s="8" t="str">
        <f t="shared" si="1"/>
        <v>9</v>
      </c>
      <c r="G388" s="9">
        <f t="shared" si="2"/>
        <v>15</v>
      </c>
      <c r="H388" s="11"/>
      <c r="I388" s="11">
        <f t="shared" si="3"/>
        <v>0</v>
      </c>
      <c r="J388" s="11"/>
      <c r="K388" s="11">
        <f t="shared" si="11"/>
        <v>0</v>
      </c>
      <c r="L388" s="11"/>
      <c r="M388" s="11">
        <f t="shared" si="5"/>
        <v>0</v>
      </c>
      <c r="N388" s="11"/>
      <c r="O388" s="11">
        <f t="shared" si="6"/>
        <v>0</v>
      </c>
      <c r="P388" s="11" t="str">
        <f t="shared" si="7"/>
        <v>Punkte W 7-9</v>
      </c>
      <c r="Q388" s="11" t="str">
        <f t="shared" si="8"/>
        <v>Noten-Matrix-Mädchen</v>
      </c>
      <c r="R388" s="13">
        <f t="shared" si="9"/>
        <v>0</v>
      </c>
      <c r="S388" s="11" t="str">
        <f>IF(R388=0, "Keine Teilnahme", IFERROR(IF(R388&gt;=VLOOKUP(G388&amp;LOWER(E388), Formeln!$H$2:$K$30, 4, FALSE), "Ehrenurkunde", IF(R388&gt;=VLOOKUP(G388&amp;LOWER(E388), Formeln!$H$2:$K$30, 3, FALSE), "Siegerurkunde", "Teilnehmerurkunde")), "Keine Urkunde"))</f>
        <v>Keine Teilnahme</v>
      </c>
      <c r="T388" s="14" t="str">
        <f t="shared" si="10"/>
        <v>Keine Teilnahme</v>
      </c>
    </row>
    <row r="389" ht="19.5" hidden="1" customHeight="1">
      <c r="A389" s="15" t="str">
        <f>IF(ASV_Daten!A380="","",ASV_Daten!A380)</f>
        <v>R9B</v>
      </c>
      <c r="B389" s="15" t="str">
        <f>IF(ASV_Daten!B380="","",ASV_Daten!B380)</f>
        <v>Anusic</v>
      </c>
      <c r="C389" s="15" t="str">
        <f>IF(ASV_Daten!C380="","",ASV_Daten!C380)</f>
        <v>Gabriella</v>
      </c>
      <c r="D389" s="35">
        <f>IF(ASV_Daten!D380="","",ASV_Daten!D380)</f>
        <v>2010</v>
      </c>
      <c r="E389" s="15" t="str">
        <f>IF(ASV_Daten!E380="","",ASV_Daten!E380)</f>
        <v>W</v>
      </c>
      <c r="F389" s="16" t="str">
        <f t="shared" si="1"/>
        <v>9</v>
      </c>
      <c r="G389" s="17">
        <f t="shared" si="2"/>
        <v>16</v>
      </c>
      <c r="H389" s="19"/>
      <c r="I389" s="19">
        <f t="shared" si="3"/>
        <v>0</v>
      </c>
      <c r="J389" s="20">
        <v>13.6</v>
      </c>
      <c r="K389" s="19">
        <f t="shared" si="11"/>
        <v>215</v>
      </c>
      <c r="L389" s="20">
        <v>3.01</v>
      </c>
      <c r="M389" s="19">
        <f t="shared" si="5"/>
        <v>308</v>
      </c>
      <c r="N389" s="20">
        <v>19.0</v>
      </c>
      <c r="O389" s="19">
        <f t="shared" si="6"/>
        <v>283</v>
      </c>
      <c r="P389" s="19" t="str">
        <f t="shared" si="7"/>
        <v>Punkte W 7-9</v>
      </c>
      <c r="Q389" s="19" t="str">
        <f t="shared" si="8"/>
        <v>Noten-Matrix-Mädchen</v>
      </c>
      <c r="R389" s="21">
        <f t="shared" si="9"/>
        <v>806</v>
      </c>
      <c r="S389" s="19" t="str">
        <f>IF(R389=0, "Keine Teilnahme", IFERROR(IF(R389&gt;=VLOOKUP(G389&amp;LOWER(E389), Formeln!$H$2:$K$30, 4, FALSE), "Ehrenurkunde", IF(R389&gt;=VLOOKUP(G389&amp;LOWER(E389), Formeln!$H$2:$K$30, 3, FALSE), "Siegerurkunde", "Teilnehmerurkunde")), "Keine Urkunde"))</f>
        <v>Teilnehmerurkunde</v>
      </c>
      <c r="T389" s="22">
        <f t="shared" si="10"/>
        <v>3.4</v>
      </c>
    </row>
    <row r="390" ht="19.5" hidden="1" customHeight="1">
      <c r="A390" s="7" t="str">
        <f>IF(ASV_Daten!A382="","",ASV_Daten!A382)</f>
        <v>R9B</v>
      </c>
      <c r="B390" s="7" t="str">
        <f>IF(ASV_Daten!B382="","",ASV_Daten!B382)</f>
        <v>Dautbegovic</v>
      </c>
      <c r="C390" s="7" t="str">
        <f>IF(ASV_Daten!C382="","",ASV_Daten!C382)</f>
        <v>Haris</v>
      </c>
      <c r="D390" s="34">
        <f>IF(ASV_Daten!D382="","",ASV_Daten!D382)</f>
        <v>2011</v>
      </c>
      <c r="E390" s="7" t="str">
        <f>IF(ASV_Daten!E382="","",ASV_Daten!E382)</f>
        <v>M</v>
      </c>
      <c r="F390" s="8" t="str">
        <f t="shared" si="1"/>
        <v>9</v>
      </c>
      <c r="G390" s="9">
        <f t="shared" si="2"/>
        <v>15</v>
      </c>
      <c r="H390" s="27"/>
      <c r="I390" s="11">
        <f t="shared" si="3"/>
        <v>0</v>
      </c>
      <c r="J390" s="12">
        <v>10.7</v>
      </c>
      <c r="K390" s="11">
        <f t="shared" si="11"/>
        <v>414</v>
      </c>
      <c r="L390" s="12">
        <v>3.85</v>
      </c>
      <c r="M390" s="11">
        <f t="shared" si="5"/>
        <v>370</v>
      </c>
      <c r="N390" s="12">
        <v>29.0</v>
      </c>
      <c r="O390" s="11">
        <f t="shared" si="6"/>
        <v>278</v>
      </c>
      <c r="P390" s="11" t="str">
        <f t="shared" si="7"/>
        <v>Punkte M 7-9</v>
      </c>
      <c r="Q390" s="11" t="str">
        <f t="shared" si="8"/>
        <v>Noten-Matrix-Jungen</v>
      </c>
      <c r="R390" s="13">
        <f t="shared" si="9"/>
        <v>1062</v>
      </c>
      <c r="S390" s="11" t="str">
        <f>IF(R390=0, "Keine Teilnahme", IFERROR(IF(R390&gt;=VLOOKUP(G390&amp;LOWER(E390), Formeln!$H$2:$K$30, 4, FALSE), "Ehrenurkunde", IF(R390&gt;=VLOOKUP(G390&amp;LOWER(E390), Formeln!$H$2:$K$30, 3, FALSE), "Siegerurkunde", "Teilnehmerurkunde")), "Keine Urkunde"))</f>
        <v>Siegerurkunde</v>
      </c>
      <c r="T390" s="14">
        <f t="shared" si="10"/>
        <v>2.3</v>
      </c>
    </row>
    <row r="391" ht="19.5" hidden="1" customHeight="1">
      <c r="A391" s="15" t="str">
        <f>IF(ASV_Daten!A398="","",ASV_Daten!A398)</f>
        <v>R9B</v>
      </c>
      <c r="B391" s="15" t="str">
        <f>IF(ASV_Daten!B398="","",ASV_Daten!B398)</f>
        <v>Simic</v>
      </c>
      <c r="C391" s="15" t="str">
        <f>IF(ASV_Daten!C398="","",ASV_Daten!C398)</f>
        <v>Ivana</v>
      </c>
      <c r="D391" s="35">
        <f>IF(ASV_Daten!D398="","",ASV_Daten!D398)</f>
        <v>2010</v>
      </c>
      <c r="E391" s="15" t="str">
        <f>IF(ASV_Daten!E398="","",ASV_Daten!E398)</f>
        <v>W</v>
      </c>
      <c r="F391" s="16" t="str">
        <f t="shared" si="1"/>
        <v>9</v>
      </c>
      <c r="G391" s="17">
        <f t="shared" si="2"/>
        <v>16</v>
      </c>
      <c r="H391" s="19"/>
      <c r="I391" s="19">
        <f t="shared" si="3"/>
        <v>0</v>
      </c>
      <c r="J391" s="19"/>
      <c r="K391" s="19">
        <f t="shared" si="11"/>
        <v>0</v>
      </c>
      <c r="L391" s="19"/>
      <c r="M391" s="19">
        <f t="shared" si="5"/>
        <v>0</v>
      </c>
      <c r="N391" s="19"/>
      <c r="O391" s="19">
        <f t="shared" si="6"/>
        <v>0</v>
      </c>
      <c r="P391" s="19" t="str">
        <f t="shared" si="7"/>
        <v>Punkte W 7-9</v>
      </c>
      <c r="Q391" s="19" t="str">
        <f t="shared" si="8"/>
        <v>Noten-Matrix-Mädchen</v>
      </c>
      <c r="R391" s="21">
        <f t="shared" si="9"/>
        <v>0</v>
      </c>
      <c r="S391" s="19" t="str">
        <f>IF(R391=0, "Keine Teilnahme", IFERROR(IF(R391&gt;=VLOOKUP(G391&amp;LOWER(E391), Formeln!$H$2:$K$30, 4, FALSE), "Ehrenurkunde", IF(R391&gt;=VLOOKUP(G391&amp;LOWER(E391), Formeln!$H$2:$K$30, 3, FALSE), "Siegerurkunde", "Teilnehmerurkunde")), "Keine Urkunde"))</f>
        <v>Keine Teilnahme</v>
      </c>
      <c r="T391" s="22" t="str">
        <f t="shared" si="10"/>
        <v>Keine Teilnahme</v>
      </c>
    </row>
    <row r="392" ht="19.5" hidden="1" customHeight="1">
      <c r="A392" s="7" t="str">
        <f>IF(ASV_Daten!A394="","",ASV_Daten!A394)</f>
        <v>R9B</v>
      </c>
      <c r="B392" s="7" t="str">
        <f>IF(ASV_Daten!B394="","",ASV_Daten!B394)</f>
        <v>Rudigier</v>
      </c>
      <c r="C392" s="7" t="str">
        <f>IF(ASV_Daten!C394="","",ASV_Daten!C394)</f>
        <v>Lars</v>
      </c>
      <c r="D392" s="34">
        <f>IF(ASV_Daten!D394="","",ASV_Daten!D394)</f>
        <v>2011</v>
      </c>
      <c r="E392" s="7" t="str">
        <f>IF(ASV_Daten!E394="","",ASV_Daten!E394)</f>
        <v>M</v>
      </c>
      <c r="F392" s="8" t="str">
        <f t="shared" si="1"/>
        <v>9</v>
      </c>
      <c r="G392" s="9">
        <f t="shared" si="2"/>
        <v>15</v>
      </c>
      <c r="H392" s="11"/>
      <c r="I392" s="11">
        <f t="shared" si="3"/>
        <v>0</v>
      </c>
      <c r="J392" s="11"/>
      <c r="K392" s="11">
        <f t="shared" si="11"/>
        <v>0</v>
      </c>
      <c r="L392" s="12">
        <v>4.29</v>
      </c>
      <c r="M392" s="11">
        <f t="shared" si="5"/>
        <v>420</v>
      </c>
      <c r="N392" s="12">
        <v>45.0</v>
      </c>
      <c r="O392" s="11">
        <f t="shared" si="6"/>
        <v>384</v>
      </c>
      <c r="P392" s="11" t="str">
        <f t="shared" si="7"/>
        <v>Punkte M 7-9</v>
      </c>
      <c r="Q392" s="11" t="str">
        <f t="shared" si="8"/>
        <v>Noten-Matrix-Jungen</v>
      </c>
      <c r="R392" s="13">
        <f t="shared" si="9"/>
        <v>804</v>
      </c>
      <c r="S392" s="11" t="str">
        <f>IF(R392=0, "Keine Teilnahme", IFERROR(IF(R392&gt;=VLOOKUP(G392&amp;LOWER(E392), Formeln!$H$2:$K$30, 4, FALSE), "Ehrenurkunde", IF(R392&gt;=VLOOKUP(G392&amp;LOWER(E392), Formeln!$H$2:$K$30, 3, FALSE), "Siegerurkunde", "Teilnehmerurkunde")), "Keine Urkunde"))</f>
        <v>Teilnehmerurkunde</v>
      </c>
      <c r="T392" s="14">
        <f t="shared" si="10"/>
        <v>4.1</v>
      </c>
    </row>
    <row r="393" ht="19.5" hidden="1" customHeight="1">
      <c r="A393" s="15" t="str">
        <f>IF(ASV_Daten!A399="","",ASV_Daten!A399)</f>
        <v>R9B</v>
      </c>
      <c r="B393" s="15" t="str">
        <f>IF(ASV_Daten!B399="","",ASV_Daten!B399)</f>
        <v>Tritschler</v>
      </c>
      <c r="C393" s="15" t="str">
        <f>IF(ASV_Daten!C399="","",ASV_Daten!C399)</f>
        <v>Luis</v>
      </c>
      <c r="D393" s="35">
        <f>IF(ASV_Daten!D399="","",ASV_Daten!D399)</f>
        <v>2010</v>
      </c>
      <c r="E393" s="15" t="str">
        <f>IF(ASV_Daten!E399="","",ASV_Daten!E399)</f>
        <v>M</v>
      </c>
      <c r="F393" s="16" t="str">
        <f t="shared" si="1"/>
        <v>9</v>
      </c>
      <c r="G393" s="17">
        <f t="shared" si="2"/>
        <v>16</v>
      </c>
      <c r="H393" s="19"/>
      <c r="I393" s="19">
        <f t="shared" si="3"/>
        <v>0</v>
      </c>
      <c r="J393" s="19"/>
      <c r="K393" s="19">
        <f t="shared" si="11"/>
        <v>0</v>
      </c>
      <c r="L393" s="20">
        <v>5.09</v>
      </c>
      <c r="M393" s="19">
        <f t="shared" si="5"/>
        <v>504</v>
      </c>
      <c r="N393" s="20">
        <v>39.0</v>
      </c>
      <c r="O393" s="19">
        <f t="shared" si="6"/>
        <v>347</v>
      </c>
      <c r="P393" s="19" t="str">
        <f t="shared" si="7"/>
        <v>Punkte M 7-9</v>
      </c>
      <c r="Q393" s="19" t="str">
        <f t="shared" si="8"/>
        <v>Noten-Matrix-Jungen</v>
      </c>
      <c r="R393" s="21">
        <f t="shared" si="9"/>
        <v>851</v>
      </c>
      <c r="S393" s="19" t="str">
        <f>IF(R393=0, "Keine Teilnahme", IFERROR(IF(R393&gt;=VLOOKUP(G393&amp;LOWER(E393), Formeln!$H$2:$K$30, 4, FALSE), "Ehrenurkunde", IF(R393&gt;=VLOOKUP(G393&amp;LOWER(E393), Formeln!$H$2:$K$30, 3, FALSE), "Siegerurkunde", "Teilnehmerurkunde")), "Keine Urkunde"))</f>
        <v>Teilnehmerurkunde</v>
      </c>
      <c r="T393" s="22">
        <f t="shared" si="10"/>
        <v>4.3</v>
      </c>
    </row>
    <row r="394" ht="19.5" hidden="1" customHeight="1">
      <c r="A394" s="7" t="str">
        <f>IF(ASV_Daten!A388="","",ASV_Daten!A388)</f>
        <v>R9B</v>
      </c>
      <c r="B394" s="7" t="str">
        <f>IF(ASV_Daten!B388="","",ASV_Daten!B388)</f>
        <v>Kovalov</v>
      </c>
      <c r="C394" s="7" t="str">
        <f>IF(ASV_Daten!C388="","",ASV_Daten!C388)</f>
        <v>Matvey</v>
      </c>
      <c r="D394" s="34">
        <f>IF(ASV_Daten!D388="","",ASV_Daten!D388)</f>
        <v>2010</v>
      </c>
      <c r="E394" s="7" t="str">
        <f>IF(ASV_Daten!E388="","",ASV_Daten!E388)</f>
        <v>M</v>
      </c>
      <c r="F394" s="8" t="str">
        <f t="shared" si="1"/>
        <v>9</v>
      </c>
      <c r="G394" s="9">
        <f t="shared" si="2"/>
        <v>16</v>
      </c>
      <c r="H394" s="11"/>
      <c r="I394" s="11">
        <f t="shared" si="3"/>
        <v>0</v>
      </c>
      <c r="J394" s="11"/>
      <c r="K394" s="11">
        <f t="shared" si="11"/>
        <v>0</v>
      </c>
      <c r="L394" s="12">
        <v>4.01</v>
      </c>
      <c r="M394" s="11">
        <f t="shared" si="5"/>
        <v>389</v>
      </c>
      <c r="N394" s="12">
        <v>30.0</v>
      </c>
      <c r="O394" s="11">
        <f t="shared" si="6"/>
        <v>285</v>
      </c>
      <c r="P394" s="11" t="str">
        <f t="shared" si="7"/>
        <v>Punkte M 7-9</v>
      </c>
      <c r="Q394" s="11" t="str">
        <f t="shared" si="8"/>
        <v>Noten-Matrix-Jungen</v>
      </c>
      <c r="R394" s="13">
        <f t="shared" si="9"/>
        <v>674</v>
      </c>
      <c r="S394" s="11" t="str">
        <f>IF(R394=0, "Keine Teilnahme", IFERROR(IF(R394&gt;=VLOOKUP(G394&amp;LOWER(E394), Formeln!$H$2:$K$30, 4, FALSE), "Ehrenurkunde", IF(R394&gt;=VLOOKUP(G394&amp;LOWER(E394), Formeln!$H$2:$K$30, 3, FALSE), "Siegerurkunde", "Teilnehmerurkunde")), "Keine Urkunde"))</f>
        <v>Teilnehmerurkunde</v>
      </c>
      <c r="T394" s="14" t="str">
        <f t="shared" si="10"/>
        <v>NOTE</v>
      </c>
    </row>
    <row r="395" ht="19.5" hidden="1" customHeight="1">
      <c r="A395" s="15" t="str">
        <f>IF(ASV_Daten!A397="","",ASV_Daten!A397)</f>
        <v>R9B</v>
      </c>
      <c r="B395" s="15" t="str">
        <f>IF(ASV_Daten!B397="","",ASV_Daten!B397)</f>
        <v>Shabash</v>
      </c>
      <c r="C395" s="15" t="str">
        <f>IF(ASV_Daten!C397="","",ASV_Daten!C397)</f>
        <v>Mikhael</v>
      </c>
      <c r="D395" s="35">
        <f>IF(ASV_Daten!D397="","",ASV_Daten!D397)</f>
        <v>2010</v>
      </c>
      <c r="E395" s="15" t="str">
        <f>IF(ASV_Daten!E397="","",ASV_Daten!E397)</f>
        <v>M</v>
      </c>
      <c r="F395" s="16" t="str">
        <f t="shared" si="1"/>
        <v>9</v>
      </c>
      <c r="G395" s="17">
        <f t="shared" si="2"/>
        <v>16</v>
      </c>
      <c r="H395" s="19"/>
      <c r="I395" s="19">
        <f t="shared" si="3"/>
        <v>0</v>
      </c>
      <c r="J395" s="19"/>
      <c r="K395" s="19">
        <f t="shared" si="11"/>
        <v>0</v>
      </c>
      <c r="L395" s="19"/>
      <c r="M395" s="19">
        <f t="shared" si="5"/>
        <v>0</v>
      </c>
      <c r="N395" s="19"/>
      <c r="O395" s="19">
        <f t="shared" si="6"/>
        <v>0</v>
      </c>
      <c r="P395" s="19" t="str">
        <f t="shared" si="7"/>
        <v>Punkte M 7-9</v>
      </c>
      <c r="Q395" s="19" t="str">
        <f t="shared" si="8"/>
        <v>Noten-Matrix-Jungen</v>
      </c>
      <c r="R395" s="21">
        <f t="shared" si="9"/>
        <v>0</v>
      </c>
      <c r="S395" s="19" t="str">
        <f>IF(R395=0, "Keine Teilnahme", IFERROR(IF(R395&gt;=VLOOKUP(G395&amp;LOWER(E395), Formeln!$H$2:$K$30, 4, FALSE), "Ehrenurkunde", IF(R395&gt;=VLOOKUP(G395&amp;LOWER(E395), Formeln!$H$2:$K$30, 3, FALSE), "Siegerurkunde", "Teilnehmerurkunde")), "Keine Urkunde"))</f>
        <v>Keine Teilnahme</v>
      </c>
      <c r="T395" s="22" t="str">
        <f t="shared" si="10"/>
        <v>Keine Teilnahme</v>
      </c>
    </row>
    <row r="396" ht="19.5" hidden="1" customHeight="1">
      <c r="A396" s="7" t="str">
        <f>IF(ASV_Daten!A391="","",ASV_Daten!A391)</f>
        <v>R9B</v>
      </c>
      <c r="B396" s="7" t="str">
        <f>IF(ASV_Daten!B391="","",ASV_Daten!B391)</f>
        <v>Müller</v>
      </c>
      <c r="C396" s="7" t="str">
        <f>IF(ASV_Daten!C391="","",ASV_Daten!C391)</f>
        <v>Monja</v>
      </c>
      <c r="D396" s="34">
        <f>IF(ASV_Daten!D391="","",ASV_Daten!D391)</f>
        <v>2011</v>
      </c>
      <c r="E396" s="7" t="str">
        <f>IF(ASV_Daten!E391="","",ASV_Daten!E391)</f>
        <v>W</v>
      </c>
      <c r="F396" s="8" t="str">
        <f t="shared" si="1"/>
        <v>9</v>
      </c>
      <c r="G396" s="9">
        <f t="shared" si="2"/>
        <v>15</v>
      </c>
      <c r="H396" s="11"/>
      <c r="I396" s="11">
        <f t="shared" si="3"/>
        <v>0</v>
      </c>
      <c r="J396" s="12">
        <v>13.9</v>
      </c>
      <c r="K396" s="11">
        <f t="shared" si="11"/>
        <v>197</v>
      </c>
      <c r="L396" s="12">
        <v>3.41</v>
      </c>
      <c r="M396" s="11">
        <f t="shared" si="5"/>
        <v>362</v>
      </c>
      <c r="N396" s="12">
        <v>13.0</v>
      </c>
      <c r="O396" s="11">
        <f t="shared" si="6"/>
        <v>210</v>
      </c>
      <c r="P396" s="11" t="str">
        <f t="shared" si="7"/>
        <v>Punkte W 7-9</v>
      </c>
      <c r="Q396" s="11" t="str">
        <f t="shared" si="8"/>
        <v>Noten-Matrix-Mädchen</v>
      </c>
      <c r="R396" s="13">
        <f t="shared" si="9"/>
        <v>769</v>
      </c>
      <c r="S396" s="11" t="str">
        <f>IF(R396=0, "Keine Teilnahme", IFERROR(IF(R396&gt;=VLOOKUP(G396&amp;LOWER(E396), Formeln!$H$2:$K$30, 4, FALSE), "Ehrenurkunde", IF(R396&gt;=VLOOKUP(G396&amp;LOWER(E396), Formeln!$H$2:$K$30, 3, FALSE), "Siegerurkunde", "Teilnehmerurkunde")), "Keine Urkunde"))</f>
        <v>Teilnehmerurkunde</v>
      </c>
      <c r="T396" s="14">
        <f t="shared" si="10"/>
        <v>3.5</v>
      </c>
    </row>
    <row r="397" ht="19.5" hidden="1" customHeight="1">
      <c r="A397" s="15" t="str">
        <f>IF(ASV_Daten!A390="","",ASV_Daten!A390)</f>
        <v>R9B</v>
      </c>
      <c r="B397" s="15" t="str">
        <f>IF(ASV_Daten!B390="","",ASV_Daten!B390)</f>
        <v>Krüger</v>
      </c>
      <c r="C397" s="15" t="str">
        <f>IF(ASV_Daten!C390="","",ASV_Daten!C390)</f>
        <v>Nele</v>
      </c>
      <c r="D397" s="35">
        <f>IF(ASV_Daten!D390="","",ASV_Daten!D390)</f>
        <v>2010</v>
      </c>
      <c r="E397" s="15" t="str">
        <f>IF(ASV_Daten!E390="","",ASV_Daten!E390)</f>
        <v>W</v>
      </c>
      <c r="F397" s="16" t="str">
        <f t="shared" si="1"/>
        <v>9</v>
      </c>
      <c r="G397" s="17">
        <f t="shared" si="2"/>
        <v>16</v>
      </c>
      <c r="H397" s="20"/>
      <c r="I397" s="19">
        <f t="shared" si="3"/>
        <v>0</v>
      </c>
      <c r="J397" s="20">
        <v>12.6</v>
      </c>
      <c r="K397" s="19">
        <f t="shared" si="11"/>
        <v>279</v>
      </c>
      <c r="L397" s="20">
        <v>3.69</v>
      </c>
      <c r="M397" s="19">
        <f t="shared" si="5"/>
        <v>397</v>
      </c>
      <c r="N397" s="20">
        <v>18.0</v>
      </c>
      <c r="O397" s="19">
        <f t="shared" si="6"/>
        <v>272</v>
      </c>
      <c r="P397" s="19" t="str">
        <f t="shared" si="7"/>
        <v>Punkte W 7-9</v>
      </c>
      <c r="Q397" s="19" t="str">
        <f t="shared" si="8"/>
        <v>Noten-Matrix-Mädchen</v>
      </c>
      <c r="R397" s="21">
        <f t="shared" si="9"/>
        <v>948</v>
      </c>
      <c r="S397" s="19" t="str">
        <f>IF(R397=0, "Keine Teilnahme", IFERROR(IF(R397&gt;=VLOOKUP(G397&amp;LOWER(E397), Formeln!$H$2:$K$30, 4, FALSE), "Ehrenurkunde", IF(R397&gt;=VLOOKUP(G397&amp;LOWER(E397), Formeln!$H$2:$K$30, 3, FALSE), "Siegerurkunde", "Teilnehmerurkunde")), "Keine Urkunde"))</f>
        <v>Teilnehmerurkunde</v>
      </c>
      <c r="T397" s="22">
        <f t="shared" si="10"/>
        <v>2.4</v>
      </c>
    </row>
    <row r="398" ht="19.5" hidden="1" customHeight="1">
      <c r="A398" s="7" t="str">
        <f>IF(ASV_Daten!A401="","",ASV_Daten!A401)</f>
        <v>R9B</v>
      </c>
      <c r="B398" s="7" t="str">
        <f>IF(ASV_Daten!B401="","",ASV_Daten!B401)</f>
        <v>Wissler</v>
      </c>
      <c r="C398" s="7" t="str">
        <f>IF(ASV_Daten!C401="","",ASV_Daten!C401)</f>
        <v>Nils</v>
      </c>
      <c r="D398" s="34">
        <f>IF(ASV_Daten!D401="","",ASV_Daten!D401)</f>
        <v>2011</v>
      </c>
      <c r="E398" s="7" t="str">
        <f>IF(ASV_Daten!E401="","",ASV_Daten!E401)</f>
        <v>M</v>
      </c>
      <c r="F398" s="8" t="str">
        <f t="shared" si="1"/>
        <v>9</v>
      </c>
      <c r="G398" s="9">
        <f t="shared" si="2"/>
        <v>15</v>
      </c>
      <c r="H398" s="11"/>
      <c r="I398" s="11">
        <f t="shared" si="3"/>
        <v>0</v>
      </c>
      <c r="J398" s="12">
        <v>10.7</v>
      </c>
      <c r="K398" s="11">
        <f t="shared" si="11"/>
        <v>414</v>
      </c>
      <c r="L398" s="12">
        <v>4.97</v>
      </c>
      <c r="M398" s="11">
        <f t="shared" si="5"/>
        <v>492</v>
      </c>
      <c r="N398" s="12">
        <v>53.0</v>
      </c>
      <c r="O398" s="11">
        <f t="shared" si="6"/>
        <v>430</v>
      </c>
      <c r="P398" s="11" t="str">
        <f t="shared" si="7"/>
        <v>Punkte M 7-9</v>
      </c>
      <c r="Q398" s="11" t="str">
        <f t="shared" si="8"/>
        <v>Noten-Matrix-Jungen</v>
      </c>
      <c r="R398" s="13">
        <f t="shared" si="9"/>
        <v>1336</v>
      </c>
      <c r="S398" s="11" t="str">
        <f>IF(R398=0, "Keine Teilnahme", IFERROR(IF(R398&gt;=VLOOKUP(G398&amp;LOWER(E398), Formeln!$H$2:$K$30, 4, FALSE), "Ehrenurkunde", IF(R398&gt;=VLOOKUP(G398&amp;LOWER(E398), Formeln!$H$2:$K$30, 3, FALSE), "Siegerurkunde", "Teilnehmerurkunde")), "Keine Urkunde"))</f>
        <v>Ehrenurkunde</v>
      </c>
      <c r="T398" s="14">
        <f t="shared" si="10"/>
        <v>1</v>
      </c>
    </row>
    <row r="399" ht="19.5" hidden="1" customHeight="1">
      <c r="A399" s="15" t="str">
        <f>IF(ASV_Daten!A402="","",ASV_Daten!A402)</f>
        <v>R9B</v>
      </c>
      <c r="B399" s="15" t="str">
        <f>IF(ASV_Daten!B402="","",ASV_Daten!B402)</f>
        <v>Wolf</v>
      </c>
      <c r="C399" s="15" t="str">
        <f>IF(ASV_Daten!C402="","",ASV_Daten!C402)</f>
        <v>Noah</v>
      </c>
      <c r="D399" s="35">
        <f>IF(ASV_Daten!D402="","",ASV_Daten!D402)</f>
        <v>2010</v>
      </c>
      <c r="E399" s="15" t="str">
        <f>IF(ASV_Daten!E402="","",ASV_Daten!E402)</f>
        <v>M</v>
      </c>
      <c r="F399" s="16" t="str">
        <f t="shared" si="1"/>
        <v>9</v>
      </c>
      <c r="G399" s="17">
        <f t="shared" si="2"/>
        <v>16</v>
      </c>
      <c r="H399" s="19"/>
      <c r="I399" s="19">
        <f t="shared" si="3"/>
        <v>0</v>
      </c>
      <c r="J399" s="20">
        <v>10.7</v>
      </c>
      <c r="K399" s="19">
        <f t="shared" si="11"/>
        <v>414</v>
      </c>
      <c r="L399" s="20">
        <v>3.97</v>
      </c>
      <c r="M399" s="19">
        <f t="shared" si="5"/>
        <v>384</v>
      </c>
      <c r="N399" s="20">
        <v>51.0</v>
      </c>
      <c r="O399" s="19">
        <f t="shared" si="6"/>
        <v>419</v>
      </c>
      <c r="P399" s="19" t="str">
        <f t="shared" si="7"/>
        <v>Punkte M 7-9</v>
      </c>
      <c r="Q399" s="19" t="str">
        <f t="shared" si="8"/>
        <v>Noten-Matrix-Jungen</v>
      </c>
      <c r="R399" s="21">
        <f t="shared" si="9"/>
        <v>1217</v>
      </c>
      <c r="S399" s="19" t="str">
        <f>IF(R399=0, "Keine Teilnahme", IFERROR(IF(R399&gt;=VLOOKUP(G399&amp;LOWER(E399), Formeln!$H$2:$K$30, 4, FALSE), "Ehrenurkunde", IF(R399&gt;=VLOOKUP(G399&amp;LOWER(E399), Formeln!$H$2:$K$30, 3, FALSE), "Siegerurkunde", "Teilnehmerurkunde")), "Keine Urkunde"))</f>
        <v>Siegerurkunde</v>
      </c>
      <c r="T399" s="22">
        <f t="shared" si="10"/>
        <v>2.1</v>
      </c>
    </row>
    <row r="400" ht="19.5" hidden="1" customHeight="1">
      <c r="A400" s="7" t="str">
        <f>IF(ASV_Daten!A392="","",ASV_Daten!A392)</f>
        <v>R9B</v>
      </c>
      <c r="B400" s="7" t="str">
        <f>IF(ASV_Daten!B392="","",ASV_Daten!B392)</f>
        <v>Rodrigues Borges</v>
      </c>
      <c r="C400" s="7" t="str">
        <f>IF(ASV_Daten!C392="","",ASV_Daten!C392)</f>
        <v>Pedro</v>
      </c>
      <c r="D400" s="34">
        <f>IF(ASV_Daten!D392="","",ASV_Daten!D392)</f>
        <v>2010</v>
      </c>
      <c r="E400" s="7" t="str">
        <f>IF(ASV_Daten!E392="","",ASV_Daten!E392)</f>
        <v>M</v>
      </c>
      <c r="F400" s="8" t="str">
        <f t="shared" si="1"/>
        <v>9</v>
      </c>
      <c r="G400" s="9">
        <f t="shared" si="2"/>
        <v>16</v>
      </c>
      <c r="H400" s="11"/>
      <c r="I400" s="11">
        <f t="shared" si="3"/>
        <v>0</v>
      </c>
      <c r="J400" s="11"/>
      <c r="K400" s="11">
        <f t="shared" si="11"/>
        <v>0</v>
      </c>
      <c r="L400" s="12">
        <v>3.41</v>
      </c>
      <c r="M400" s="11">
        <f t="shared" si="5"/>
        <v>317</v>
      </c>
      <c r="N400" s="12">
        <v>33.0</v>
      </c>
      <c r="O400" s="11">
        <f t="shared" si="6"/>
        <v>307</v>
      </c>
      <c r="P400" s="11" t="str">
        <f t="shared" si="7"/>
        <v>Punkte M 7-9</v>
      </c>
      <c r="Q400" s="11" t="str">
        <f t="shared" si="8"/>
        <v>Noten-Matrix-Jungen</v>
      </c>
      <c r="R400" s="13">
        <f t="shared" si="9"/>
        <v>624</v>
      </c>
      <c r="S400" s="11" t="str">
        <f>IF(R400=0, "Keine Teilnahme", IFERROR(IF(R400&gt;=VLOOKUP(G400&amp;LOWER(E400), Formeln!$H$2:$K$30, 4, FALSE), "Ehrenurkunde", IF(R400&gt;=VLOOKUP(G400&amp;LOWER(E400), Formeln!$H$2:$K$30, 3, FALSE), "Siegerurkunde", "Teilnehmerurkunde")), "Keine Urkunde"))</f>
        <v>Teilnehmerurkunde</v>
      </c>
      <c r="T400" s="14" t="str">
        <f t="shared" si="10"/>
        <v>NOTE</v>
      </c>
    </row>
    <row r="401" ht="19.5" hidden="1" customHeight="1">
      <c r="A401" s="15" t="str">
        <f>IF(ASV_Daten!A386="","",ASV_Daten!A386)</f>
        <v>R9B</v>
      </c>
      <c r="B401" s="15" t="str">
        <f>IF(ASV_Daten!B386="","",ASV_Daten!B386)</f>
        <v>Fabig</v>
      </c>
      <c r="C401" s="15" t="str">
        <f>IF(ASV_Daten!C386="","",ASV_Daten!C386)</f>
        <v>Tristan</v>
      </c>
      <c r="D401" s="35">
        <f>IF(ASV_Daten!D386="","",ASV_Daten!D386)</f>
        <v>2010</v>
      </c>
      <c r="E401" s="15" t="str">
        <f>IF(ASV_Daten!E386="","",ASV_Daten!E386)</f>
        <v>M</v>
      </c>
      <c r="F401" s="16" t="str">
        <f t="shared" si="1"/>
        <v>9</v>
      </c>
      <c r="G401" s="17">
        <f t="shared" si="2"/>
        <v>16</v>
      </c>
      <c r="H401" s="18">
        <v>0.19305555555555556</v>
      </c>
      <c r="I401" s="19">
        <f t="shared" si="3"/>
        <v>239</v>
      </c>
      <c r="J401" s="19"/>
      <c r="K401" s="19">
        <f t="shared" si="11"/>
        <v>0</v>
      </c>
      <c r="L401" s="20">
        <v>3.13</v>
      </c>
      <c r="M401" s="19">
        <f t="shared" si="5"/>
        <v>282</v>
      </c>
      <c r="N401" s="20">
        <v>23.0</v>
      </c>
      <c r="O401" s="19">
        <f t="shared" si="6"/>
        <v>230</v>
      </c>
      <c r="P401" s="19" t="str">
        <f t="shared" si="7"/>
        <v>Punkte M 7-9</v>
      </c>
      <c r="Q401" s="19" t="str">
        <f t="shared" si="8"/>
        <v>Noten-Matrix-Jungen</v>
      </c>
      <c r="R401" s="21">
        <f t="shared" si="9"/>
        <v>751</v>
      </c>
      <c r="S401" s="19" t="str">
        <f>IF(R401=0, "Keine Teilnahme", IFERROR(IF(R401&gt;=VLOOKUP(G401&amp;LOWER(E401), Formeln!$H$2:$K$30, 4, FALSE), "Ehrenurkunde", IF(R401&gt;=VLOOKUP(G401&amp;LOWER(E401), Formeln!$H$2:$K$30, 3, FALSE), "Siegerurkunde", "Teilnehmerurkunde")), "Keine Urkunde"))</f>
        <v>Teilnehmerurkunde</v>
      </c>
      <c r="T401" s="22" t="str">
        <f t="shared" si="10"/>
        <v>NOTE</v>
      </c>
    </row>
    <row r="402" ht="19.5" hidden="1" customHeight="1">
      <c r="A402" s="7" t="str">
        <f>IF(ASV_Daten!A385="","",ASV_Daten!A385)</f>
        <v>R9B</v>
      </c>
      <c r="B402" s="7" t="str">
        <f>IF(ASV_Daten!B385="","",ASV_Daten!B385)</f>
        <v>Dura</v>
      </c>
      <c r="C402" s="7" t="str">
        <f>IF(ASV_Daten!C385="","",ASV_Daten!C385)</f>
        <v>Valerie</v>
      </c>
      <c r="D402" s="34">
        <f>IF(ASV_Daten!D385="","",ASV_Daten!D385)</f>
        <v>2011</v>
      </c>
      <c r="E402" s="7" t="str">
        <f>IF(ASV_Daten!E385="","",ASV_Daten!E385)</f>
        <v>W</v>
      </c>
      <c r="F402" s="8" t="str">
        <f t="shared" si="1"/>
        <v>9</v>
      </c>
      <c r="G402" s="9">
        <f t="shared" si="2"/>
        <v>15</v>
      </c>
      <c r="H402" s="11"/>
      <c r="I402" s="11">
        <f t="shared" si="3"/>
        <v>0</v>
      </c>
      <c r="J402" s="12">
        <v>11.2</v>
      </c>
      <c r="K402" s="11">
        <f t="shared" si="11"/>
        <v>387</v>
      </c>
      <c r="L402" s="12">
        <v>3.81</v>
      </c>
      <c r="M402" s="11">
        <f t="shared" si="5"/>
        <v>412</v>
      </c>
      <c r="N402" s="12">
        <v>19.0</v>
      </c>
      <c r="O402" s="11">
        <f t="shared" si="6"/>
        <v>283</v>
      </c>
      <c r="P402" s="11" t="str">
        <f t="shared" si="7"/>
        <v>Punkte W 7-9</v>
      </c>
      <c r="Q402" s="11" t="str">
        <f t="shared" si="8"/>
        <v>Noten-Matrix-Mädchen</v>
      </c>
      <c r="R402" s="13">
        <f t="shared" si="9"/>
        <v>1082</v>
      </c>
      <c r="S402" s="11" t="str">
        <f>IF(R402=0, "Keine Teilnahme", IFERROR(IF(R402&gt;=VLOOKUP(G402&amp;LOWER(E402), Formeln!$H$2:$K$30, 4, FALSE), "Ehrenurkunde", IF(R402&gt;=VLOOKUP(G402&amp;LOWER(E402), Formeln!$H$2:$K$30, 3, FALSE), "Siegerurkunde", "Teilnehmerurkunde")), "Keine Urkunde"))</f>
        <v>Ehrenurkunde</v>
      </c>
      <c r="T402" s="14">
        <f t="shared" si="10"/>
        <v>1.5</v>
      </c>
    </row>
    <row r="403" ht="19.5" hidden="1" customHeight="1">
      <c r="A403" s="15" t="str">
        <f>IF(ASV_Daten!A387="","",ASV_Daten!A387)</f>
        <v>R9B</v>
      </c>
      <c r="B403" s="15" t="str">
        <f>IF(ASV_Daten!B387="","",ASV_Daten!B387)</f>
        <v>Klumpp</v>
      </c>
      <c r="C403" s="15" t="str">
        <f>IF(ASV_Daten!C387="","",ASV_Daten!C387)</f>
        <v>Yannis</v>
      </c>
      <c r="D403" s="35">
        <f>IF(ASV_Daten!D387="","",ASV_Daten!D387)</f>
        <v>2010</v>
      </c>
      <c r="E403" s="15" t="str">
        <f>IF(ASV_Daten!E387="","",ASV_Daten!E387)</f>
        <v>M</v>
      </c>
      <c r="F403" s="16" t="str">
        <f t="shared" si="1"/>
        <v>9</v>
      </c>
      <c r="G403" s="17">
        <f t="shared" si="2"/>
        <v>16</v>
      </c>
      <c r="H403" s="19"/>
      <c r="I403" s="19">
        <f t="shared" si="3"/>
        <v>0</v>
      </c>
      <c r="J403" s="19"/>
      <c r="K403" s="19">
        <f t="shared" si="11"/>
        <v>0</v>
      </c>
      <c r="L403" s="19"/>
      <c r="M403" s="19">
        <f t="shared" si="5"/>
        <v>0</v>
      </c>
      <c r="N403" s="19"/>
      <c r="O403" s="19">
        <f t="shared" si="6"/>
        <v>0</v>
      </c>
      <c r="P403" s="19" t="str">
        <f t="shared" si="7"/>
        <v>Punkte M 7-9</v>
      </c>
      <c r="Q403" s="19" t="str">
        <f t="shared" si="8"/>
        <v>Noten-Matrix-Jungen</v>
      </c>
      <c r="R403" s="21">
        <f t="shared" si="9"/>
        <v>0</v>
      </c>
      <c r="S403" s="19" t="str">
        <f>IF(R403=0, "Keine Teilnahme", IFERROR(IF(R403&gt;=VLOOKUP(G403&amp;LOWER(E403), Formeln!$H$2:$K$30, 4, FALSE), "Ehrenurkunde", IF(R403&gt;=VLOOKUP(G403&amp;LOWER(E403), Formeln!$H$2:$K$30, 3, FALSE), "Siegerurkunde", "Teilnehmerurkunde")), "Keine Urkunde"))</f>
        <v>Keine Teilnahme</v>
      </c>
      <c r="T403" s="22" t="str">
        <f t="shared" si="10"/>
        <v>Keine Teilnahme</v>
      </c>
    </row>
    <row r="404" ht="19.5" hidden="1" customHeight="1">
      <c r="A404" s="7" t="str">
        <f>IF(ASV_Daten!A414="","",ASV_Daten!A414)</f>
        <v>R9C</v>
      </c>
      <c r="B404" s="7" t="str">
        <f>IF(ASV_Daten!B414="","",ASV_Daten!B414)</f>
        <v>Muherina</v>
      </c>
      <c r="C404" s="7" t="str">
        <f>IF(ASV_Daten!C414="","",ASV_Daten!C414)</f>
        <v>Almedina</v>
      </c>
      <c r="D404" s="34">
        <f>IF(ASV_Daten!D414="","",ASV_Daten!D414)</f>
        <v>2011</v>
      </c>
      <c r="E404" s="7" t="str">
        <f>IF(ASV_Daten!E414="","",ASV_Daten!E414)</f>
        <v>W</v>
      </c>
      <c r="F404" s="8" t="str">
        <f t="shared" si="1"/>
        <v>9</v>
      </c>
      <c r="G404" s="9">
        <f t="shared" si="2"/>
        <v>15</v>
      </c>
      <c r="H404" s="11"/>
      <c r="I404" s="11">
        <f t="shared" si="3"/>
        <v>0</v>
      </c>
      <c r="J404" s="11"/>
      <c r="K404" s="11">
        <f t="shared" si="11"/>
        <v>0</v>
      </c>
      <c r="L404" s="11"/>
      <c r="M404" s="11">
        <f t="shared" si="5"/>
        <v>0</v>
      </c>
      <c r="N404" s="11"/>
      <c r="O404" s="11">
        <f t="shared" si="6"/>
        <v>0</v>
      </c>
      <c r="P404" s="11" t="str">
        <f t="shared" si="7"/>
        <v>Punkte W 7-9</v>
      </c>
      <c r="Q404" s="11" t="str">
        <f t="shared" si="8"/>
        <v>Noten-Matrix-Mädchen</v>
      </c>
      <c r="R404" s="13">
        <f t="shared" si="9"/>
        <v>0</v>
      </c>
      <c r="S404" s="11" t="str">
        <f>IF(R404=0, "Keine Teilnahme", IFERROR(IF(R404&gt;=VLOOKUP(G404&amp;LOWER(E404), Formeln!$H$2:$K$30, 4, FALSE), "Ehrenurkunde", IF(R404&gt;=VLOOKUP(G404&amp;LOWER(E404), Formeln!$H$2:$K$30, 3, FALSE), "Siegerurkunde", "Teilnehmerurkunde")), "Keine Urkunde"))</f>
        <v>Keine Teilnahme</v>
      </c>
      <c r="T404" s="14" t="str">
        <f t="shared" si="10"/>
        <v>Keine Teilnahme</v>
      </c>
    </row>
    <row r="405" ht="19.5" hidden="1" customHeight="1">
      <c r="A405" s="15" t="str">
        <f>IF(ASV_Daten!A409="","",ASV_Daten!A409)</f>
        <v>R9C</v>
      </c>
      <c r="B405" s="15" t="str">
        <f>IF(ASV_Daten!B409="","",ASV_Daten!B409)</f>
        <v>Jashanica</v>
      </c>
      <c r="C405" s="15" t="str">
        <f>IF(ASV_Daten!C409="","",ASV_Daten!C409)</f>
        <v>Ariana</v>
      </c>
      <c r="D405" s="35">
        <f>IF(ASV_Daten!D409="","",ASV_Daten!D409)</f>
        <v>2011</v>
      </c>
      <c r="E405" s="15" t="str">
        <f>IF(ASV_Daten!E409="","",ASV_Daten!E409)</f>
        <v>W</v>
      </c>
      <c r="F405" s="16" t="str">
        <f t="shared" si="1"/>
        <v>9</v>
      </c>
      <c r="G405" s="17">
        <f t="shared" si="2"/>
        <v>15</v>
      </c>
      <c r="H405" s="19"/>
      <c r="I405" s="19">
        <f t="shared" si="3"/>
        <v>0</v>
      </c>
      <c r="J405" s="19"/>
      <c r="K405" s="19">
        <f t="shared" si="11"/>
        <v>0</v>
      </c>
      <c r="L405" s="19"/>
      <c r="M405" s="19">
        <f t="shared" si="5"/>
        <v>0</v>
      </c>
      <c r="N405" s="19"/>
      <c r="O405" s="19">
        <f t="shared" si="6"/>
        <v>0</v>
      </c>
      <c r="P405" s="19" t="str">
        <f t="shared" si="7"/>
        <v>Punkte W 7-9</v>
      </c>
      <c r="Q405" s="19" t="str">
        <f t="shared" si="8"/>
        <v>Noten-Matrix-Mädchen</v>
      </c>
      <c r="R405" s="21">
        <f t="shared" si="9"/>
        <v>0</v>
      </c>
      <c r="S405" s="19" t="str">
        <f>IF(R405=0, "Keine Teilnahme", IFERROR(IF(R405&gt;=VLOOKUP(G405&amp;LOWER(E405), Formeln!$H$2:$K$30, 4, FALSE), "Ehrenurkunde", IF(R405&gt;=VLOOKUP(G405&amp;LOWER(E405), Formeln!$H$2:$K$30, 3, FALSE), "Siegerurkunde", "Teilnehmerurkunde")), "Keine Urkunde"))</f>
        <v>Keine Teilnahme</v>
      </c>
      <c r="T405" s="22" t="str">
        <f t="shared" si="10"/>
        <v>Keine Teilnahme</v>
      </c>
    </row>
    <row r="406" ht="19.5" hidden="1" customHeight="1">
      <c r="A406" s="7" t="str">
        <f>IF(ASV_Daten!A421="","",ASV_Daten!A421)</f>
        <v>R9C</v>
      </c>
      <c r="B406" s="7" t="str">
        <f>IF(ASV_Daten!B421="","",ASV_Daten!B421)</f>
        <v>Toprakyigit</v>
      </c>
      <c r="C406" s="7" t="str">
        <f>IF(ASV_Daten!C421="","",ASV_Daten!C421)</f>
        <v>Ayla-Eda</v>
      </c>
      <c r="D406" s="34">
        <f>IF(ASV_Daten!D421="","",ASV_Daten!D421)</f>
        <v>2011</v>
      </c>
      <c r="E406" s="7" t="str">
        <f>IF(ASV_Daten!E421="","",ASV_Daten!E421)</f>
        <v>W</v>
      </c>
      <c r="F406" s="8" t="str">
        <f t="shared" si="1"/>
        <v>9</v>
      </c>
      <c r="G406" s="9">
        <f t="shared" si="2"/>
        <v>15</v>
      </c>
      <c r="H406" s="11"/>
      <c r="I406" s="11">
        <f t="shared" si="3"/>
        <v>0</v>
      </c>
      <c r="J406" s="11"/>
      <c r="K406" s="11">
        <f t="shared" si="11"/>
        <v>0</v>
      </c>
      <c r="L406" s="11"/>
      <c r="M406" s="11">
        <f t="shared" si="5"/>
        <v>0</v>
      </c>
      <c r="N406" s="11"/>
      <c r="O406" s="11">
        <f t="shared" si="6"/>
        <v>0</v>
      </c>
      <c r="P406" s="11" t="str">
        <f t="shared" si="7"/>
        <v>Punkte W 7-9</v>
      </c>
      <c r="Q406" s="11" t="str">
        <f t="shared" si="8"/>
        <v>Noten-Matrix-Mädchen</v>
      </c>
      <c r="R406" s="13">
        <f t="shared" si="9"/>
        <v>0</v>
      </c>
      <c r="S406" s="11" t="str">
        <f>IF(R406=0, "Keine Teilnahme", IFERROR(IF(R406&gt;=VLOOKUP(G406&amp;LOWER(E406), Formeln!$H$2:$K$30, 4, FALSE), "Ehrenurkunde", IF(R406&gt;=VLOOKUP(G406&amp;LOWER(E406), Formeln!$H$2:$K$30, 3, FALSE), "Siegerurkunde", "Teilnehmerurkunde")), "Keine Urkunde"))</f>
        <v>Keine Teilnahme</v>
      </c>
      <c r="T406" s="14" t="str">
        <f t="shared" si="10"/>
        <v>Keine Teilnahme</v>
      </c>
    </row>
    <row r="407" ht="19.5" hidden="1" customHeight="1">
      <c r="A407" s="15" t="str">
        <f>IF(ASV_Daten!A410="","",ASV_Daten!A410)</f>
        <v>R9C</v>
      </c>
      <c r="B407" s="15" t="str">
        <f>IF(ASV_Daten!B410="","",ASV_Daten!B410)</f>
        <v>Kalinger</v>
      </c>
      <c r="C407" s="15" t="str">
        <f>IF(ASV_Daten!C410="","",ASV_Daten!C410)</f>
        <v>Davis</v>
      </c>
      <c r="D407" s="35">
        <f>IF(ASV_Daten!D410="","",ASV_Daten!D410)</f>
        <v>2010</v>
      </c>
      <c r="E407" s="15" t="str">
        <f>IF(ASV_Daten!E410="","",ASV_Daten!E410)</f>
        <v>M</v>
      </c>
      <c r="F407" s="16" t="str">
        <f t="shared" si="1"/>
        <v>9</v>
      </c>
      <c r="G407" s="17">
        <f t="shared" si="2"/>
        <v>16</v>
      </c>
      <c r="H407" s="19"/>
      <c r="I407" s="19">
        <f t="shared" si="3"/>
        <v>0</v>
      </c>
      <c r="J407" s="20">
        <v>9.7</v>
      </c>
      <c r="K407" s="19">
        <f t="shared" si="11"/>
        <v>518</v>
      </c>
      <c r="L407" s="19"/>
      <c r="M407" s="19">
        <f t="shared" si="5"/>
        <v>0</v>
      </c>
      <c r="N407" s="20">
        <v>44.0</v>
      </c>
      <c r="O407" s="19">
        <f t="shared" si="6"/>
        <v>378</v>
      </c>
      <c r="P407" s="19" t="str">
        <f t="shared" si="7"/>
        <v>Punkte M 7-9</v>
      </c>
      <c r="Q407" s="19" t="str">
        <f t="shared" si="8"/>
        <v>Noten-Matrix-Jungen</v>
      </c>
      <c r="R407" s="21">
        <f t="shared" si="9"/>
        <v>896</v>
      </c>
      <c r="S407" s="19" t="str">
        <f>IF(R407=0, "Keine Teilnahme", IFERROR(IF(R407&gt;=VLOOKUP(G407&amp;LOWER(E407), Formeln!$H$2:$K$30, 4, FALSE), "Ehrenurkunde", IF(R407&gt;=VLOOKUP(G407&amp;LOWER(E407), Formeln!$H$2:$K$30, 3, FALSE), "Siegerurkunde", "Teilnehmerurkunde")), "Keine Urkunde"))</f>
        <v>Teilnehmerurkunde</v>
      </c>
      <c r="T407" s="22">
        <f t="shared" si="10"/>
        <v>3.9</v>
      </c>
    </row>
    <row r="408" ht="19.5" hidden="1" customHeight="1">
      <c r="A408" s="7" t="str">
        <f>IF(ASV_Daten!A406="","",ASV_Daten!A406)</f>
        <v>R9C</v>
      </c>
      <c r="B408" s="7" t="str">
        <f>IF(ASV_Daten!B406="","",ASV_Daten!B406)</f>
        <v>Gashi</v>
      </c>
      <c r="C408" s="7" t="str">
        <f>IF(ASV_Daten!C406="","",ASV_Daten!C406)</f>
        <v>Edi</v>
      </c>
      <c r="D408" s="34">
        <f>IF(ASV_Daten!D406="","",ASV_Daten!D406)</f>
        <v>2010</v>
      </c>
      <c r="E408" s="7" t="str">
        <f>IF(ASV_Daten!E406="","",ASV_Daten!E406)</f>
        <v>M</v>
      </c>
      <c r="F408" s="8" t="str">
        <f t="shared" si="1"/>
        <v>9</v>
      </c>
      <c r="G408" s="9">
        <f t="shared" si="2"/>
        <v>16</v>
      </c>
      <c r="H408" s="11"/>
      <c r="I408" s="11">
        <f t="shared" si="3"/>
        <v>0</v>
      </c>
      <c r="J408" s="11"/>
      <c r="K408" s="11">
        <f t="shared" si="11"/>
        <v>0</v>
      </c>
      <c r="L408" s="11"/>
      <c r="M408" s="11">
        <f t="shared" si="5"/>
        <v>0</v>
      </c>
      <c r="N408" s="11"/>
      <c r="O408" s="11">
        <f t="shared" si="6"/>
        <v>0</v>
      </c>
      <c r="P408" s="11" t="str">
        <f t="shared" si="7"/>
        <v>Punkte M 7-9</v>
      </c>
      <c r="Q408" s="11" t="str">
        <f t="shared" si="8"/>
        <v>Noten-Matrix-Jungen</v>
      </c>
      <c r="R408" s="13">
        <f t="shared" si="9"/>
        <v>0</v>
      </c>
      <c r="S408" s="11" t="str">
        <f>IF(R408=0, "Keine Teilnahme", IFERROR(IF(R408&gt;=VLOOKUP(G408&amp;LOWER(E408), Formeln!$H$2:$K$30, 4, FALSE), "Ehrenurkunde", IF(R408&gt;=VLOOKUP(G408&amp;LOWER(E408), Formeln!$H$2:$K$30, 3, FALSE), "Siegerurkunde", "Teilnehmerurkunde")), "Keine Urkunde"))</f>
        <v>Keine Teilnahme</v>
      </c>
      <c r="T408" s="14" t="str">
        <f t="shared" si="10"/>
        <v>Keine Teilnahme</v>
      </c>
    </row>
    <row r="409" ht="19.5" hidden="1" customHeight="1">
      <c r="A409" s="15" t="str">
        <f>IF(ASV_Daten!A426="","",ASV_Daten!A426)</f>
        <v>R9C</v>
      </c>
      <c r="B409" s="15" t="str">
        <f>IF(ASV_Daten!B426="","",ASV_Daten!B426)</f>
        <v>Zulfic</v>
      </c>
      <c r="C409" s="15" t="str">
        <f>IF(ASV_Daten!C426="","",ASV_Daten!C426)</f>
        <v>Emir</v>
      </c>
      <c r="D409" s="35">
        <f>IF(ASV_Daten!D426="","",ASV_Daten!D426)</f>
        <v>2011</v>
      </c>
      <c r="E409" s="15" t="str">
        <f>IF(ASV_Daten!E426="","",ASV_Daten!E426)</f>
        <v>M</v>
      </c>
      <c r="F409" s="16" t="str">
        <f t="shared" si="1"/>
        <v>9</v>
      </c>
      <c r="G409" s="17">
        <f t="shared" si="2"/>
        <v>15</v>
      </c>
      <c r="H409" s="19"/>
      <c r="I409" s="19">
        <f t="shared" si="3"/>
        <v>0</v>
      </c>
      <c r="J409" s="20">
        <v>10.2</v>
      </c>
      <c r="K409" s="19">
        <f t="shared" si="11"/>
        <v>464</v>
      </c>
      <c r="L409" s="19"/>
      <c r="M409" s="19">
        <f t="shared" si="5"/>
        <v>0</v>
      </c>
      <c r="N409" s="20">
        <v>51.0</v>
      </c>
      <c r="O409" s="19">
        <f t="shared" si="6"/>
        <v>419</v>
      </c>
      <c r="P409" s="19" t="str">
        <f t="shared" si="7"/>
        <v>Punkte M 7-9</v>
      </c>
      <c r="Q409" s="19" t="str">
        <f t="shared" si="8"/>
        <v>Noten-Matrix-Jungen</v>
      </c>
      <c r="R409" s="21">
        <f t="shared" si="9"/>
        <v>883</v>
      </c>
      <c r="S409" s="19" t="str">
        <f>IF(R409=0, "Keine Teilnahme", IFERROR(IF(R409&gt;=VLOOKUP(G409&amp;LOWER(E409), Formeln!$H$2:$K$30, 4, FALSE), "Ehrenurkunde", IF(R409&gt;=VLOOKUP(G409&amp;LOWER(E409), Formeln!$H$2:$K$30, 3, FALSE), "Siegerurkunde", "Teilnehmerurkunde")), "Keine Urkunde"))</f>
        <v>Teilnehmerurkunde</v>
      </c>
      <c r="T409" s="22">
        <f t="shared" si="10"/>
        <v>3.4</v>
      </c>
    </row>
    <row r="410" ht="19.5" hidden="1" customHeight="1">
      <c r="A410" s="7" t="str">
        <f>IF(ASV_Daten!A417="","",ASV_Daten!A417)</f>
        <v>R9C</v>
      </c>
      <c r="B410" s="7" t="str">
        <f>IF(ASV_Daten!B417="","",ASV_Daten!B417)</f>
        <v>Schropp</v>
      </c>
      <c r="C410" s="7" t="str">
        <f>IF(ASV_Daten!C417="","",ASV_Daten!C417)</f>
        <v>Isabell</v>
      </c>
      <c r="D410" s="34">
        <f>IF(ASV_Daten!D417="","",ASV_Daten!D417)</f>
        <v>2011</v>
      </c>
      <c r="E410" s="7" t="str">
        <f>IF(ASV_Daten!E417="","",ASV_Daten!E417)</f>
        <v>W</v>
      </c>
      <c r="F410" s="8" t="str">
        <f t="shared" si="1"/>
        <v>9</v>
      </c>
      <c r="G410" s="9">
        <f t="shared" si="2"/>
        <v>15</v>
      </c>
      <c r="H410" s="11"/>
      <c r="I410" s="11">
        <f t="shared" si="3"/>
        <v>0</v>
      </c>
      <c r="J410" s="11"/>
      <c r="K410" s="11">
        <f t="shared" si="11"/>
        <v>0</v>
      </c>
      <c r="L410" s="11"/>
      <c r="M410" s="11">
        <f t="shared" si="5"/>
        <v>0</v>
      </c>
      <c r="N410" s="11"/>
      <c r="O410" s="11">
        <f t="shared" si="6"/>
        <v>0</v>
      </c>
      <c r="P410" s="11" t="str">
        <f t="shared" si="7"/>
        <v>Punkte W 7-9</v>
      </c>
      <c r="Q410" s="11" t="str">
        <f t="shared" si="8"/>
        <v>Noten-Matrix-Mädchen</v>
      </c>
      <c r="R410" s="13">
        <f t="shared" si="9"/>
        <v>0</v>
      </c>
      <c r="S410" s="11" t="str">
        <f>IF(R410=0, "Keine Teilnahme", IFERROR(IF(R410&gt;=VLOOKUP(G410&amp;LOWER(E410), Formeln!$H$2:$K$30, 4, FALSE), "Ehrenurkunde", IF(R410&gt;=VLOOKUP(G410&amp;LOWER(E410), Formeln!$H$2:$K$30, 3, FALSE), "Siegerurkunde", "Teilnehmerurkunde")), "Keine Urkunde"))</f>
        <v>Keine Teilnahme</v>
      </c>
      <c r="T410" s="14" t="str">
        <f t="shared" si="10"/>
        <v>Keine Teilnahme</v>
      </c>
    </row>
    <row r="411" ht="19.5" hidden="1" customHeight="1">
      <c r="A411" s="15" t="str">
        <f>IF(ASV_Daten!A415="","",ASV_Daten!A415)</f>
        <v>R9C</v>
      </c>
      <c r="B411" s="15" t="str">
        <f>IF(ASV_Daten!B415="","",ASV_Daten!B415)</f>
        <v>Relota</v>
      </c>
      <c r="C411" s="15" t="str">
        <f>IF(ASV_Daten!C415="","",ASV_Daten!C415)</f>
        <v>Ivan</v>
      </c>
      <c r="D411" s="35">
        <f>IF(ASV_Daten!D415="","",ASV_Daten!D415)</f>
        <v>2011</v>
      </c>
      <c r="E411" s="15" t="str">
        <f>IF(ASV_Daten!E415="","",ASV_Daten!E415)</f>
        <v>M</v>
      </c>
      <c r="F411" s="16" t="str">
        <f t="shared" si="1"/>
        <v>9</v>
      </c>
      <c r="G411" s="17">
        <f t="shared" si="2"/>
        <v>15</v>
      </c>
      <c r="H411" s="19"/>
      <c r="I411" s="19">
        <f t="shared" si="3"/>
        <v>0</v>
      </c>
      <c r="J411" s="19"/>
      <c r="K411" s="19">
        <f t="shared" si="11"/>
        <v>0</v>
      </c>
      <c r="L411" s="19"/>
      <c r="M411" s="19">
        <f t="shared" si="5"/>
        <v>0</v>
      </c>
      <c r="N411" s="19"/>
      <c r="O411" s="19">
        <f t="shared" si="6"/>
        <v>0</v>
      </c>
      <c r="P411" s="19" t="str">
        <f t="shared" si="7"/>
        <v>Punkte M 7-9</v>
      </c>
      <c r="Q411" s="19" t="str">
        <f t="shared" si="8"/>
        <v>Noten-Matrix-Jungen</v>
      </c>
      <c r="R411" s="21">
        <f t="shared" si="9"/>
        <v>0</v>
      </c>
      <c r="S411" s="19" t="str">
        <f>IF(R411=0, "Keine Teilnahme", IFERROR(IF(R411&gt;=VLOOKUP(G411&amp;LOWER(E411), Formeln!$H$2:$K$30, 4, FALSE), "Ehrenurkunde", IF(R411&gt;=VLOOKUP(G411&amp;LOWER(E411), Formeln!$H$2:$K$30, 3, FALSE), "Siegerurkunde", "Teilnehmerurkunde")), "Keine Urkunde"))</f>
        <v>Keine Teilnahme</v>
      </c>
      <c r="T411" s="22" t="str">
        <f t="shared" si="10"/>
        <v>Keine Teilnahme</v>
      </c>
    </row>
    <row r="412" ht="19.5" hidden="1" customHeight="1">
      <c r="A412" s="7" t="str">
        <f>IF(ASV_Daten!A425="","",ASV_Daten!A425)</f>
        <v>R9C</v>
      </c>
      <c r="B412" s="7" t="str">
        <f>IF(ASV_Daten!B425="","",ASV_Daten!B425)</f>
        <v>Zähringer</v>
      </c>
      <c r="C412" s="7" t="str">
        <f>IF(ASV_Daten!C425="","",ASV_Daten!C425)</f>
        <v>Jan</v>
      </c>
      <c r="D412" s="34">
        <f>IF(ASV_Daten!D425="","",ASV_Daten!D425)</f>
        <v>2010</v>
      </c>
      <c r="E412" s="7" t="str">
        <f>IF(ASV_Daten!E425="","",ASV_Daten!E425)</f>
        <v>M</v>
      </c>
      <c r="F412" s="8" t="str">
        <f t="shared" si="1"/>
        <v>9</v>
      </c>
      <c r="G412" s="9">
        <f t="shared" si="2"/>
        <v>16</v>
      </c>
      <c r="H412" s="11"/>
      <c r="I412" s="11">
        <f t="shared" si="3"/>
        <v>0</v>
      </c>
      <c r="J412" s="12">
        <v>9.8</v>
      </c>
      <c r="K412" s="11">
        <f t="shared" si="11"/>
        <v>507</v>
      </c>
      <c r="L412" s="12">
        <v>34.0</v>
      </c>
      <c r="M412" s="11">
        <f t="shared" si="5"/>
        <v>770</v>
      </c>
      <c r="N412" s="12">
        <v>34.0</v>
      </c>
      <c r="O412" s="11">
        <f t="shared" si="6"/>
        <v>314</v>
      </c>
      <c r="P412" s="11" t="str">
        <f t="shared" si="7"/>
        <v>Punkte M 7-9</v>
      </c>
      <c r="Q412" s="11" t="str">
        <f t="shared" si="8"/>
        <v>Noten-Matrix-Jungen</v>
      </c>
      <c r="R412" s="13">
        <f t="shared" si="9"/>
        <v>1591</v>
      </c>
      <c r="S412" s="11" t="str">
        <f>IF(R412=0, "Keine Teilnahme", IFERROR(IF(R412&gt;=VLOOKUP(G412&amp;LOWER(E412), Formeln!$H$2:$K$30, 4, FALSE), "Ehrenurkunde", IF(R412&gt;=VLOOKUP(G412&amp;LOWER(E412), Formeln!$H$2:$K$30, 3, FALSE), "Siegerurkunde", "Teilnehmerurkunde")), "Keine Urkunde"))</f>
        <v>Ehrenurkunde</v>
      </c>
      <c r="T412" s="14">
        <f t="shared" si="10"/>
        <v>1</v>
      </c>
    </row>
    <row r="413" ht="19.5" hidden="1" customHeight="1">
      <c r="A413" s="15" t="str">
        <f>IF(ASV_Daten!A407="","",ASV_Daten!A407)</f>
        <v>R9C</v>
      </c>
      <c r="B413" s="15" t="str">
        <f>IF(ASV_Daten!B407="","",ASV_Daten!B407)</f>
        <v>Gök</v>
      </c>
      <c r="C413" s="15" t="str">
        <f>IF(ASV_Daten!C407="","",ASV_Daten!C407)</f>
        <v>Kerem</v>
      </c>
      <c r="D413" s="35">
        <f>IF(ASV_Daten!D407="","",ASV_Daten!D407)</f>
        <v>2011</v>
      </c>
      <c r="E413" s="15" t="str">
        <f>IF(ASV_Daten!E407="","",ASV_Daten!E407)</f>
        <v>M</v>
      </c>
      <c r="F413" s="16" t="str">
        <f t="shared" si="1"/>
        <v>9</v>
      </c>
      <c r="G413" s="17">
        <f t="shared" si="2"/>
        <v>15</v>
      </c>
      <c r="H413" s="19"/>
      <c r="I413" s="19">
        <f t="shared" si="3"/>
        <v>0</v>
      </c>
      <c r="J413" s="20">
        <v>12.4</v>
      </c>
      <c r="K413" s="19">
        <f t="shared" si="11"/>
        <v>276</v>
      </c>
      <c r="L413" s="19"/>
      <c r="M413" s="19">
        <f t="shared" si="5"/>
        <v>0</v>
      </c>
      <c r="N413" s="20">
        <v>31.0</v>
      </c>
      <c r="O413" s="19">
        <f t="shared" si="6"/>
        <v>292</v>
      </c>
      <c r="P413" s="19" t="str">
        <f t="shared" si="7"/>
        <v>Punkte M 7-9</v>
      </c>
      <c r="Q413" s="19" t="str">
        <f t="shared" si="8"/>
        <v>Noten-Matrix-Jungen</v>
      </c>
      <c r="R413" s="21">
        <f t="shared" si="9"/>
        <v>568</v>
      </c>
      <c r="S413" s="19" t="str">
        <f>IF(R413=0, "Keine Teilnahme", IFERROR(IF(R413&gt;=VLOOKUP(G413&amp;LOWER(E413), Formeln!$H$2:$K$30, 4, FALSE), "Ehrenurkunde", IF(R413&gt;=VLOOKUP(G413&amp;LOWER(E413), Formeln!$H$2:$K$30, 3, FALSE), "Siegerurkunde", "Teilnehmerurkunde")), "Keine Urkunde"))</f>
        <v>Teilnehmerurkunde</v>
      </c>
      <c r="T413" s="22" t="str">
        <f t="shared" si="10"/>
        <v>NOTE</v>
      </c>
    </row>
    <row r="414" ht="19.5" hidden="1" customHeight="1">
      <c r="A414" s="7" t="str">
        <f>IF(ASV_Daten!A413="","",ASV_Daten!A413)</f>
        <v>R9C</v>
      </c>
      <c r="B414" s="7" t="str">
        <f>IF(ASV_Daten!B413="","",ASV_Daten!B413)</f>
        <v>Maier</v>
      </c>
      <c r="C414" s="7" t="str">
        <f>IF(ASV_Daten!C413="","",ASV_Daten!C413)</f>
        <v>Levin</v>
      </c>
      <c r="D414" s="34">
        <f>IF(ASV_Daten!D413="","",ASV_Daten!D413)</f>
        <v>2010</v>
      </c>
      <c r="E414" s="7" t="str">
        <f>IF(ASV_Daten!E413="","",ASV_Daten!E413)</f>
        <v>M</v>
      </c>
      <c r="F414" s="8" t="str">
        <f t="shared" si="1"/>
        <v>9</v>
      </c>
      <c r="G414" s="9">
        <f t="shared" si="2"/>
        <v>16</v>
      </c>
      <c r="H414" s="11"/>
      <c r="I414" s="11">
        <f t="shared" si="3"/>
        <v>0</v>
      </c>
      <c r="J414" s="11"/>
      <c r="K414" s="11">
        <f t="shared" si="11"/>
        <v>0</v>
      </c>
      <c r="L414" s="11"/>
      <c r="M414" s="11">
        <f t="shared" si="5"/>
        <v>0</v>
      </c>
      <c r="N414" s="11"/>
      <c r="O414" s="11">
        <f t="shared" si="6"/>
        <v>0</v>
      </c>
      <c r="P414" s="11" t="str">
        <f t="shared" si="7"/>
        <v>Punkte M 7-9</v>
      </c>
      <c r="Q414" s="11" t="str">
        <f t="shared" si="8"/>
        <v>Noten-Matrix-Jungen</v>
      </c>
      <c r="R414" s="13">
        <f t="shared" si="9"/>
        <v>0</v>
      </c>
      <c r="S414" s="11" t="str">
        <f>IF(R414=0, "Keine Teilnahme", IFERROR(IF(R414&gt;=VLOOKUP(G414&amp;LOWER(E414), Formeln!$H$2:$K$30, 4, FALSE), "Ehrenurkunde", IF(R414&gt;=VLOOKUP(G414&amp;LOWER(E414), Formeln!$H$2:$K$30, 3, FALSE), "Siegerurkunde", "Teilnehmerurkunde")), "Keine Urkunde"))</f>
        <v>Keine Teilnahme</v>
      </c>
      <c r="T414" s="14" t="str">
        <f t="shared" si="10"/>
        <v>Keine Teilnahme</v>
      </c>
    </row>
    <row r="415" ht="19.5" hidden="1" customHeight="1">
      <c r="A415" s="15" t="str">
        <f>IF(ASV_Daten!A404="","",ASV_Daten!A404)</f>
        <v>R9C</v>
      </c>
      <c r="B415" s="15" t="str">
        <f>IF(ASV_Daten!B404="","",ASV_Daten!B404)</f>
        <v>Brugger</v>
      </c>
      <c r="C415" s="15" t="str">
        <f>IF(ASV_Daten!C404="","",ASV_Daten!C404)</f>
        <v>Marie</v>
      </c>
      <c r="D415" s="35">
        <f>IF(ASV_Daten!D404="","",ASV_Daten!D404)</f>
        <v>2011</v>
      </c>
      <c r="E415" s="15" t="str">
        <f>IF(ASV_Daten!E404="","",ASV_Daten!E404)</f>
        <v>W</v>
      </c>
      <c r="F415" s="16" t="str">
        <f t="shared" si="1"/>
        <v>9</v>
      </c>
      <c r="G415" s="17">
        <f t="shared" si="2"/>
        <v>15</v>
      </c>
      <c r="H415" s="19"/>
      <c r="I415" s="19">
        <f t="shared" si="3"/>
        <v>0</v>
      </c>
      <c r="J415" s="19"/>
      <c r="K415" s="19">
        <f t="shared" si="11"/>
        <v>0</v>
      </c>
      <c r="L415" s="19"/>
      <c r="M415" s="19">
        <f t="shared" si="5"/>
        <v>0</v>
      </c>
      <c r="N415" s="19"/>
      <c r="O415" s="19">
        <f t="shared" si="6"/>
        <v>0</v>
      </c>
      <c r="P415" s="19" t="str">
        <f t="shared" si="7"/>
        <v>Punkte W 7-9</v>
      </c>
      <c r="Q415" s="19" t="str">
        <f t="shared" si="8"/>
        <v>Noten-Matrix-Mädchen</v>
      </c>
      <c r="R415" s="21">
        <f t="shared" si="9"/>
        <v>0</v>
      </c>
      <c r="S415" s="19" t="str">
        <f>IF(R415=0, "Keine Teilnahme", IFERROR(IF(R415&gt;=VLOOKUP(G415&amp;LOWER(E415), Formeln!$H$2:$K$30, 4, FALSE), "Ehrenurkunde", IF(R415&gt;=VLOOKUP(G415&amp;LOWER(E415), Formeln!$H$2:$K$30, 3, FALSE), "Siegerurkunde", "Teilnehmerurkunde")), "Keine Urkunde"))</f>
        <v>Keine Teilnahme</v>
      </c>
      <c r="T415" s="22" t="str">
        <f t="shared" si="10"/>
        <v>Keine Teilnahme</v>
      </c>
    </row>
    <row r="416" ht="19.5" hidden="1" customHeight="1">
      <c r="A416" s="7" t="str">
        <f>IF(ASV_Daten!A408="","",ASV_Daten!A408)</f>
        <v>R9C</v>
      </c>
      <c r="B416" s="7" t="str">
        <f>IF(ASV_Daten!B408="","",ASV_Daten!B408)</f>
        <v>Hättich</v>
      </c>
      <c r="C416" s="7" t="str">
        <f>IF(ASV_Daten!C408="","",ASV_Daten!C408)</f>
        <v>Marius Robert</v>
      </c>
      <c r="D416" s="34">
        <f>IF(ASV_Daten!D408="","",ASV_Daten!D408)</f>
        <v>2010</v>
      </c>
      <c r="E416" s="7" t="str">
        <f>IF(ASV_Daten!E408="","",ASV_Daten!E408)</f>
        <v>M</v>
      </c>
      <c r="F416" s="8" t="str">
        <f t="shared" si="1"/>
        <v>9</v>
      </c>
      <c r="G416" s="9">
        <f t="shared" si="2"/>
        <v>16</v>
      </c>
      <c r="H416" s="11"/>
      <c r="I416" s="11">
        <f t="shared" si="3"/>
        <v>0</v>
      </c>
      <c r="J416" s="11"/>
      <c r="K416" s="11">
        <f t="shared" si="11"/>
        <v>0</v>
      </c>
      <c r="L416" s="11"/>
      <c r="M416" s="11">
        <f t="shared" si="5"/>
        <v>0</v>
      </c>
      <c r="N416" s="12">
        <v>31.0</v>
      </c>
      <c r="O416" s="11">
        <f t="shared" si="6"/>
        <v>292</v>
      </c>
      <c r="P416" s="11" t="str">
        <f t="shared" si="7"/>
        <v>Punkte M 7-9</v>
      </c>
      <c r="Q416" s="11" t="str">
        <f t="shared" si="8"/>
        <v>Noten-Matrix-Jungen</v>
      </c>
      <c r="R416" s="13">
        <f t="shared" si="9"/>
        <v>292</v>
      </c>
      <c r="S416" s="11" t="str">
        <f>IF(R416=0, "Keine Teilnahme", IFERROR(IF(R416&gt;=VLOOKUP(G416&amp;LOWER(E416), Formeln!$H$2:$K$30, 4, FALSE), "Ehrenurkunde", IF(R416&gt;=VLOOKUP(G416&amp;LOWER(E416), Formeln!$H$2:$K$30, 3, FALSE), "Siegerurkunde", "Teilnehmerurkunde")), "Keine Urkunde"))</f>
        <v>Teilnehmerurkunde</v>
      </c>
      <c r="T416" s="14" t="str">
        <f t="shared" si="10"/>
        <v>NOTE</v>
      </c>
    </row>
    <row r="417" ht="19.5" hidden="1" customHeight="1">
      <c r="A417" s="15" t="str">
        <f>IF(ASV_Daten!A411="","",ASV_Daten!A411)</f>
        <v>R9C</v>
      </c>
      <c r="B417" s="15" t="str">
        <f>IF(ASV_Daten!B411="","",ASV_Daten!B411)</f>
        <v>Kramer</v>
      </c>
      <c r="C417" s="15" t="str">
        <f>IF(ASV_Daten!C411="","",ASV_Daten!C411)</f>
        <v>Marlon</v>
      </c>
      <c r="D417" s="35">
        <f>IF(ASV_Daten!D411="","",ASV_Daten!D411)</f>
        <v>2011</v>
      </c>
      <c r="E417" s="15" t="str">
        <f>IF(ASV_Daten!E411="","",ASV_Daten!E411)</f>
        <v>M</v>
      </c>
      <c r="F417" s="16" t="str">
        <f t="shared" si="1"/>
        <v>9</v>
      </c>
      <c r="G417" s="17">
        <f t="shared" si="2"/>
        <v>15</v>
      </c>
      <c r="H417" s="19"/>
      <c r="I417" s="19">
        <f t="shared" si="3"/>
        <v>0</v>
      </c>
      <c r="J417" s="19"/>
      <c r="K417" s="19">
        <f t="shared" si="11"/>
        <v>0</v>
      </c>
      <c r="L417" s="19"/>
      <c r="M417" s="19">
        <f t="shared" si="5"/>
        <v>0</v>
      </c>
      <c r="N417" s="19"/>
      <c r="O417" s="19">
        <f t="shared" si="6"/>
        <v>0</v>
      </c>
      <c r="P417" s="19" t="str">
        <f t="shared" si="7"/>
        <v>Punkte M 7-9</v>
      </c>
      <c r="Q417" s="19" t="str">
        <f t="shared" si="8"/>
        <v>Noten-Matrix-Jungen</v>
      </c>
      <c r="R417" s="21">
        <f t="shared" si="9"/>
        <v>0</v>
      </c>
      <c r="S417" s="19" t="str">
        <f>IF(R417=0, "Keine Teilnahme", IFERROR(IF(R417&gt;=VLOOKUP(G417&amp;LOWER(E417), Formeln!$H$2:$K$30, 4, FALSE), "Ehrenurkunde", IF(R417&gt;=VLOOKUP(G417&amp;LOWER(E417), Formeln!$H$2:$K$30, 3, FALSE), "Siegerurkunde", "Teilnehmerurkunde")), "Keine Urkunde"))</f>
        <v>Keine Teilnahme</v>
      </c>
      <c r="T417" s="22" t="str">
        <f t="shared" si="10"/>
        <v>Keine Teilnahme</v>
      </c>
    </row>
    <row r="418" ht="19.5" hidden="1" customHeight="1">
      <c r="A418" s="7" t="str">
        <f>IF(ASV_Daten!A405="","",ASV_Daten!A405)</f>
        <v>R9C</v>
      </c>
      <c r="B418" s="7" t="str">
        <f>IF(ASV_Daten!B405="","",ASV_Daten!B405)</f>
        <v>Fürderer</v>
      </c>
      <c r="C418" s="7" t="str">
        <f>IF(ASV_Daten!C405="","",ASV_Daten!C405)</f>
        <v>Maya</v>
      </c>
      <c r="D418" s="34">
        <f>IF(ASV_Daten!D405="","",ASV_Daten!D405)</f>
        <v>2010</v>
      </c>
      <c r="E418" s="7" t="str">
        <f>IF(ASV_Daten!E405="","",ASV_Daten!E405)</f>
        <v>W</v>
      </c>
      <c r="F418" s="8" t="str">
        <f t="shared" si="1"/>
        <v>9</v>
      </c>
      <c r="G418" s="9">
        <f t="shared" si="2"/>
        <v>16</v>
      </c>
      <c r="H418" s="11"/>
      <c r="I418" s="11">
        <f t="shared" si="3"/>
        <v>0</v>
      </c>
      <c r="J418" s="11"/>
      <c r="K418" s="11">
        <f t="shared" si="11"/>
        <v>0</v>
      </c>
      <c r="L418" s="11"/>
      <c r="M418" s="11">
        <f t="shared" si="5"/>
        <v>0</v>
      </c>
      <c r="N418" s="11"/>
      <c r="O418" s="11">
        <f t="shared" si="6"/>
        <v>0</v>
      </c>
      <c r="P418" s="11" t="str">
        <f t="shared" si="7"/>
        <v>Punkte W 7-9</v>
      </c>
      <c r="Q418" s="11" t="str">
        <f t="shared" si="8"/>
        <v>Noten-Matrix-Mädchen</v>
      </c>
      <c r="R418" s="13">
        <f t="shared" si="9"/>
        <v>0</v>
      </c>
      <c r="S418" s="11" t="str">
        <f>IF(R418=0, "Keine Teilnahme", IFERROR(IF(R418&gt;=VLOOKUP(G418&amp;LOWER(E418), Formeln!$H$2:$K$30, 4, FALSE), "Ehrenurkunde", IF(R418&gt;=VLOOKUP(G418&amp;LOWER(E418), Formeln!$H$2:$K$30, 3, FALSE), "Siegerurkunde", "Teilnehmerurkunde")), "Keine Urkunde"))</f>
        <v>Keine Teilnahme</v>
      </c>
      <c r="T418" s="14" t="str">
        <f t="shared" si="10"/>
        <v>Keine Teilnahme</v>
      </c>
    </row>
    <row r="419" ht="19.5" hidden="1" customHeight="1">
      <c r="A419" s="15" t="str">
        <f>IF(ASV_Daten!A422="","",ASV_Daten!A422)</f>
        <v>R9C</v>
      </c>
      <c r="B419" s="15" t="str">
        <f>IF(ASV_Daten!B422="","",ASV_Daten!B422)</f>
        <v>Tritschler</v>
      </c>
      <c r="C419" s="15" t="str">
        <f>IF(ASV_Daten!C422="","",ASV_Daten!C422)</f>
        <v>Milena</v>
      </c>
      <c r="D419" s="35">
        <f>IF(ASV_Daten!D422="","",ASV_Daten!D422)</f>
        <v>2011</v>
      </c>
      <c r="E419" s="15" t="str">
        <f>IF(ASV_Daten!E422="","",ASV_Daten!E422)</f>
        <v>W</v>
      </c>
      <c r="F419" s="16" t="str">
        <f t="shared" si="1"/>
        <v>9</v>
      </c>
      <c r="G419" s="17">
        <f t="shared" si="2"/>
        <v>15</v>
      </c>
      <c r="H419" s="19"/>
      <c r="I419" s="19">
        <f t="shared" si="3"/>
        <v>0</v>
      </c>
      <c r="J419" s="19"/>
      <c r="K419" s="19">
        <f t="shared" si="11"/>
        <v>0</v>
      </c>
      <c r="L419" s="19"/>
      <c r="M419" s="19">
        <f t="shared" si="5"/>
        <v>0</v>
      </c>
      <c r="N419" s="19"/>
      <c r="O419" s="19">
        <f t="shared" si="6"/>
        <v>0</v>
      </c>
      <c r="P419" s="19" t="str">
        <f t="shared" si="7"/>
        <v>Punkte W 7-9</v>
      </c>
      <c r="Q419" s="19" t="str">
        <f t="shared" si="8"/>
        <v>Noten-Matrix-Mädchen</v>
      </c>
      <c r="R419" s="21">
        <f t="shared" si="9"/>
        <v>0</v>
      </c>
      <c r="S419" s="19" t="str">
        <f>IF(R419=0, "Keine Teilnahme", IFERROR(IF(R419&gt;=VLOOKUP(G419&amp;LOWER(E419), Formeln!$H$2:$K$30, 4, FALSE), "Ehrenurkunde", IF(R419&gt;=VLOOKUP(G419&amp;LOWER(E419), Formeln!$H$2:$K$30, 3, FALSE), "Siegerurkunde", "Teilnehmerurkunde")), "Keine Urkunde"))</f>
        <v>Keine Teilnahme</v>
      </c>
      <c r="T419" s="22" t="str">
        <f t="shared" si="10"/>
        <v>Keine Teilnahme</v>
      </c>
    </row>
    <row r="420" ht="19.5" hidden="1" customHeight="1">
      <c r="A420" s="7" t="str">
        <f>IF(ASV_Daten!A403="","",ASV_Daten!A403)</f>
        <v>R9C</v>
      </c>
      <c r="B420" s="7" t="str">
        <f>IF(ASV_Daten!B403="","",ASV_Daten!B403)</f>
        <v>Almajaresh</v>
      </c>
      <c r="C420" s="7" t="str">
        <f>IF(ASV_Daten!C403="","",ASV_Daten!C403)</f>
        <v>Mohammad</v>
      </c>
      <c r="D420" s="34">
        <f>IF(ASV_Daten!D403="","",ASV_Daten!D403)</f>
        <v>2011</v>
      </c>
      <c r="E420" s="7" t="str">
        <f>IF(ASV_Daten!E403="","",ASV_Daten!E403)</f>
        <v>M</v>
      </c>
      <c r="F420" s="8" t="str">
        <f t="shared" si="1"/>
        <v>9</v>
      </c>
      <c r="G420" s="9">
        <f t="shared" si="2"/>
        <v>15</v>
      </c>
      <c r="H420" s="11"/>
      <c r="I420" s="11">
        <f t="shared" si="3"/>
        <v>0</v>
      </c>
      <c r="J420" s="11"/>
      <c r="K420" s="11">
        <f t="shared" si="11"/>
        <v>0</v>
      </c>
      <c r="L420" s="11"/>
      <c r="M420" s="11">
        <f t="shared" si="5"/>
        <v>0</v>
      </c>
      <c r="N420" s="11"/>
      <c r="O420" s="11">
        <f t="shared" si="6"/>
        <v>0</v>
      </c>
      <c r="P420" s="11" t="str">
        <f t="shared" si="7"/>
        <v>Punkte M 7-9</v>
      </c>
      <c r="Q420" s="11" t="str">
        <f t="shared" si="8"/>
        <v>Noten-Matrix-Jungen</v>
      </c>
      <c r="R420" s="13">
        <f t="shared" si="9"/>
        <v>0</v>
      </c>
      <c r="S420" s="11" t="str">
        <f>IF(R420=0, "Keine Teilnahme", IFERROR(IF(R420&gt;=VLOOKUP(G420&amp;LOWER(E420), Formeln!$H$2:$K$30, 4, FALSE), "Ehrenurkunde", IF(R420&gt;=VLOOKUP(G420&amp;LOWER(E420), Formeln!$H$2:$K$30, 3, FALSE), "Siegerurkunde", "Teilnehmerurkunde")), "Keine Urkunde"))</f>
        <v>Keine Teilnahme</v>
      </c>
      <c r="T420" s="14" t="str">
        <f t="shared" si="10"/>
        <v>Keine Teilnahme</v>
      </c>
    </row>
    <row r="421" ht="19.5" hidden="1" customHeight="1">
      <c r="A421" s="15" t="str">
        <f>IF(ASV_Daten!A420="","",ASV_Daten!A420)</f>
        <v>R9C</v>
      </c>
      <c r="B421" s="15" t="str">
        <f>IF(ASV_Daten!B420="","",ASV_Daten!B420)</f>
        <v>Takacs</v>
      </c>
      <c r="C421" s="15" t="str">
        <f>IF(ASV_Daten!C420="","",ASV_Daten!C420)</f>
        <v>Monika</v>
      </c>
      <c r="D421" s="35">
        <f>IF(ASV_Daten!D420="","",ASV_Daten!D420)</f>
        <v>2010</v>
      </c>
      <c r="E421" s="15" t="str">
        <f>IF(ASV_Daten!E420="","",ASV_Daten!E420)</f>
        <v>W</v>
      </c>
      <c r="F421" s="16" t="str">
        <f t="shared" si="1"/>
        <v>9</v>
      </c>
      <c r="G421" s="17">
        <f t="shared" si="2"/>
        <v>16</v>
      </c>
      <c r="H421" s="19"/>
      <c r="I421" s="19">
        <f t="shared" si="3"/>
        <v>0</v>
      </c>
      <c r="J421" s="19"/>
      <c r="K421" s="19">
        <f t="shared" si="11"/>
        <v>0</v>
      </c>
      <c r="L421" s="19"/>
      <c r="M421" s="19">
        <f t="shared" si="5"/>
        <v>0</v>
      </c>
      <c r="N421" s="19"/>
      <c r="O421" s="19">
        <f t="shared" si="6"/>
        <v>0</v>
      </c>
      <c r="P421" s="19" t="str">
        <f t="shared" si="7"/>
        <v>Punkte W 7-9</v>
      </c>
      <c r="Q421" s="19" t="str">
        <f t="shared" si="8"/>
        <v>Noten-Matrix-Mädchen</v>
      </c>
      <c r="R421" s="21">
        <f t="shared" si="9"/>
        <v>0</v>
      </c>
      <c r="S421" s="19" t="str">
        <f>IF(R421=0, "Keine Teilnahme", IFERROR(IF(R421&gt;=VLOOKUP(G421&amp;LOWER(E421), Formeln!$H$2:$K$30, 4, FALSE), "Ehrenurkunde", IF(R421&gt;=VLOOKUP(G421&amp;LOWER(E421), Formeln!$H$2:$K$30, 3, FALSE), "Siegerurkunde", "Teilnehmerurkunde")), "Keine Urkunde"))</f>
        <v>Keine Teilnahme</v>
      </c>
      <c r="T421" s="22" t="str">
        <f t="shared" si="10"/>
        <v>Keine Teilnahme</v>
      </c>
    </row>
    <row r="422" ht="19.5" hidden="1" customHeight="1">
      <c r="A422" s="7" t="str">
        <f>IF(ASV_Daten!A424="","",ASV_Daten!A424)</f>
        <v>R9C</v>
      </c>
      <c r="B422" s="7" t="str">
        <f>IF(ASV_Daten!B424="","",ASV_Daten!B424)</f>
        <v>Wetzel</v>
      </c>
      <c r="C422" s="7" t="str">
        <f>IF(ASV_Daten!C424="","",ASV_Daten!C424)</f>
        <v>Nikita</v>
      </c>
      <c r="D422" s="34">
        <f>IF(ASV_Daten!D424="","",ASV_Daten!D424)</f>
        <v>2011</v>
      </c>
      <c r="E422" s="7" t="str">
        <f>IF(ASV_Daten!E424="","",ASV_Daten!E424)</f>
        <v>M</v>
      </c>
      <c r="F422" s="8" t="str">
        <f t="shared" si="1"/>
        <v>9</v>
      </c>
      <c r="G422" s="9">
        <f t="shared" si="2"/>
        <v>15</v>
      </c>
      <c r="H422" s="11"/>
      <c r="I422" s="11">
        <f t="shared" si="3"/>
        <v>0</v>
      </c>
      <c r="J422" s="11"/>
      <c r="K422" s="11">
        <f t="shared" si="11"/>
        <v>0</v>
      </c>
      <c r="L422" s="11"/>
      <c r="M422" s="11">
        <f t="shared" si="5"/>
        <v>0</v>
      </c>
      <c r="N422" s="11"/>
      <c r="O422" s="11">
        <f t="shared" si="6"/>
        <v>0</v>
      </c>
      <c r="P422" s="11" t="str">
        <f t="shared" si="7"/>
        <v>Punkte M 7-9</v>
      </c>
      <c r="Q422" s="11" t="str">
        <f t="shared" si="8"/>
        <v>Noten-Matrix-Jungen</v>
      </c>
      <c r="R422" s="13">
        <f t="shared" si="9"/>
        <v>0</v>
      </c>
      <c r="S422" s="11" t="str">
        <f>IF(R422=0, "Keine Teilnahme", IFERROR(IF(R422&gt;=VLOOKUP(G422&amp;LOWER(E422), Formeln!$H$2:$K$30, 4, FALSE), "Ehrenurkunde", IF(R422&gt;=VLOOKUP(G422&amp;LOWER(E422), Formeln!$H$2:$K$30, 3, FALSE), "Siegerurkunde", "Teilnehmerurkunde")), "Keine Urkunde"))</f>
        <v>Keine Teilnahme</v>
      </c>
      <c r="T422" s="14" t="str">
        <f t="shared" si="10"/>
        <v>Keine Teilnahme</v>
      </c>
    </row>
    <row r="423" ht="19.5" hidden="1" customHeight="1">
      <c r="A423" s="15" t="str">
        <f>IF(ASV_Daten!A419="","",ASV_Daten!A419)</f>
        <v>R9C</v>
      </c>
      <c r="B423" s="15" t="str">
        <f>IF(ASV_Daten!B419="","",ASV_Daten!B419)</f>
        <v>Socha</v>
      </c>
      <c r="C423" s="15" t="str">
        <f>IF(ASV_Daten!C419="","",ASV_Daten!C419)</f>
        <v>Saskia</v>
      </c>
      <c r="D423" s="35">
        <f>IF(ASV_Daten!D419="","",ASV_Daten!D419)</f>
        <v>2011</v>
      </c>
      <c r="E423" s="15" t="str">
        <f>IF(ASV_Daten!E419="","",ASV_Daten!E419)</f>
        <v>W</v>
      </c>
      <c r="F423" s="16" t="str">
        <f t="shared" si="1"/>
        <v>9</v>
      </c>
      <c r="G423" s="17">
        <f t="shared" si="2"/>
        <v>15</v>
      </c>
      <c r="H423" s="19"/>
      <c r="I423" s="19">
        <f t="shared" si="3"/>
        <v>0</v>
      </c>
      <c r="J423" s="19"/>
      <c r="K423" s="19">
        <f t="shared" si="11"/>
        <v>0</v>
      </c>
      <c r="L423" s="19"/>
      <c r="M423" s="19">
        <f t="shared" si="5"/>
        <v>0</v>
      </c>
      <c r="N423" s="19"/>
      <c r="O423" s="19">
        <f t="shared" si="6"/>
        <v>0</v>
      </c>
      <c r="P423" s="19" t="str">
        <f t="shared" si="7"/>
        <v>Punkte W 7-9</v>
      </c>
      <c r="Q423" s="19" t="str">
        <f t="shared" si="8"/>
        <v>Noten-Matrix-Mädchen</v>
      </c>
      <c r="R423" s="21">
        <f t="shared" si="9"/>
        <v>0</v>
      </c>
      <c r="S423" s="19" t="str">
        <f>IF(R423=0, "Keine Teilnahme", IFERROR(IF(R423&gt;=VLOOKUP(G423&amp;LOWER(E423), Formeln!$H$2:$K$30, 4, FALSE), "Ehrenurkunde", IF(R423&gt;=VLOOKUP(G423&amp;LOWER(E423), Formeln!$H$2:$K$30, 3, FALSE), "Siegerurkunde", "Teilnehmerurkunde")), "Keine Urkunde"))</f>
        <v>Keine Teilnahme</v>
      </c>
      <c r="T423" s="22" t="str">
        <f t="shared" si="10"/>
        <v>Keine Teilnahme</v>
      </c>
    </row>
    <row r="424" ht="19.5" hidden="1" customHeight="1">
      <c r="A424" s="7" t="str">
        <f>IF(ASV_Daten!A423="","",ASV_Daten!A423)</f>
        <v>R9C</v>
      </c>
      <c r="B424" s="7" t="str">
        <f>IF(ASV_Daten!B423="","",ASV_Daten!B423)</f>
        <v>Ummenhofer</v>
      </c>
      <c r="C424" s="7" t="str">
        <f>IF(ASV_Daten!C423="","",ASV_Daten!C423)</f>
        <v>Silas</v>
      </c>
      <c r="D424" s="34">
        <f>IF(ASV_Daten!D423="","",ASV_Daten!D423)</f>
        <v>2010</v>
      </c>
      <c r="E424" s="7" t="str">
        <f>IF(ASV_Daten!E423="","",ASV_Daten!E423)</f>
        <v>M</v>
      </c>
      <c r="F424" s="8" t="str">
        <f t="shared" si="1"/>
        <v>9</v>
      </c>
      <c r="G424" s="9">
        <f t="shared" si="2"/>
        <v>16</v>
      </c>
      <c r="H424" s="11"/>
      <c r="I424" s="11">
        <f t="shared" si="3"/>
        <v>0</v>
      </c>
      <c r="J424" s="11"/>
      <c r="K424" s="11">
        <f t="shared" si="11"/>
        <v>0</v>
      </c>
      <c r="L424" s="11"/>
      <c r="M424" s="11">
        <f t="shared" si="5"/>
        <v>0</v>
      </c>
      <c r="N424" s="12">
        <v>46.5</v>
      </c>
      <c r="O424" s="11">
        <f t="shared" si="6"/>
        <v>393</v>
      </c>
      <c r="P424" s="11" t="str">
        <f t="shared" si="7"/>
        <v>Punkte M 7-9</v>
      </c>
      <c r="Q424" s="11" t="str">
        <f t="shared" si="8"/>
        <v>Noten-Matrix-Jungen</v>
      </c>
      <c r="R424" s="13">
        <f t="shared" si="9"/>
        <v>393</v>
      </c>
      <c r="S424" s="11" t="str">
        <f>IF(R424=0, "Keine Teilnahme", IFERROR(IF(R424&gt;=VLOOKUP(G424&amp;LOWER(E424), Formeln!$H$2:$K$30, 4, FALSE), "Ehrenurkunde", IF(R424&gt;=VLOOKUP(G424&amp;LOWER(E424), Formeln!$H$2:$K$30, 3, FALSE), "Siegerurkunde", "Teilnehmerurkunde")), "Keine Urkunde"))</f>
        <v>Teilnehmerurkunde</v>
      </c>
      <c r="T424" s="14" t="str">
        <f t="shared" si="10"/>
        <v>NOTE</v>
      </c>
    </row>
    <row r="425" ht="19.5" hidden="1" customHeight="1">
      <c r="A425" s="15" t="str">
        <f>IF(ASV_Daten!A412="","",ASV_Daten!A412)</f>
        <v>R9C</v>
      </c>
      <c r="B425" s="15" t="str">
        <f>IF(ASV_Daten!B412="","",ASV_Daten!B412)</f>
        <v>Lorenz</v>
      </c>
      <c r="C425" s="15" t="str">
        <f>IF(ASV_Daten!C412="","",ASV_Daten!C412)</f>
        <v>Theo</v>
      </c>
      <c r="D425" s="35">
        <f>IF(ASV_Daten!D412="","",ASV_Daten!D412)</f>
        <v>2011</v>
      </c>
      <c r="E425" s="15" t="str">
        <f>IF(ASV_Daten!E412="","",ASV_Daten!E412)</f>
        <v>M</v>
      </c>
      <c r="F425" s="16" t="str">
        <f t="shared" si="1"/>
        <v>9</v>
      </c>
      <c r="G425" s="17">
        <f t="shared" si="2"/>
        <v>15</v>
      </c>
      <c r="H425" s="19"/>
      <c r="I425" s="19">
        <f t="shared" si="3"/>
        <v>0</v>
      </c>
      <c r="J425" s="20">
        <v>10.7</v>
      </c>
      <c r="K425" s="19">
        <f t="shared" si="11"/>
        <v>414</v>
      </c>
      <c r="L425" s="19"/>
      <c r="M425" s="19">
        <f t="shared" si="5"/>
        <v>0</v>
      </c>
      <c r="N425" s="20">
        <v>29.5</v>
      </c>
      <c r="O425" s="19">
        <f t="shared" si="6"/>
        <v>281</v>
      </c>
      <c r="P425" s="19" t="str">
        <f t="shared" si="7"/>
        <v>Punkte M 7-9</v>
      </c>
      <c r="Q425" s="19" t="str">
        <f t="shared" si="8"/>
        <v>Noten-Matrix-Jungen</v>
      </c>
      <c r="R425" s="21">
        <f t="shared" si="9"/>
        <v>695</v>
      </c>
      <c r="S425" s="19" t="str">
        <f>IF(R425=0, "Keine Teilnahme", IFERROR(IF(R425&gt;=VLOOKUP(G425&amp;LOWER(E425), Formeln!$H$2:$K$30, 4, FALSE), "Ehrenurkunde", IF(R425&gt;=VLOOKUP(G425&amp;LOWER(E425), Formeln!$H$2:$K$30, 3, FALSE), "Siegerurkunde", "Teilnehmerurkunde")), "Keine Urkunde"))</f>
        <v>Teilnehmerurkunde</v>
      </c>
      <c r="T425" s="22" t="str">
        <f t="shared" si="10"/>
        <v>NOTE</v>
      </c>
    </row>
    <row r="426" ht="19.5" hidden="1" customHeight="1">
      <c r="A426" s="7" t="str">
        <f>IF(ASV_Daten!A418="","",ASV_Daten!A418)</f>
        <v>R9C</v>
      </c>
      <c r="B426" s="7" t="str">
        <f>IF(ASV_Daten!B418="","",ASV_Daten!B418)</f>
        <v>Shabani</v>
      </c>
      <c r="C426" s="7" t="str">
        <f>IF(ASV_Daten!C418="","",ASV_Daten!C418)</f>
        <v>Vehbi</v>
      </c>
      <c r="D426" s="34">
        <f>IF(ASV_Daten!D418="","",ASV_Daten!D418)</f>
        <v>2011</v>
      </c>
      <c r="E426" s="7" t="str">
        <f>IF(ASV_Daten!E418="","",ASV_Daten!E418)</f>
        <v>M</v>
      </c>
      <c r="F426" s="8" t="str">
        <f t="shared" si="1"/>
        <v>9</v>
      </c>
      <c r="G426" s="9">
        <f t="shared" si="2"/>
        <v>15</v>
      </c>
      <c r="H426" s="11"/>
      <c r="I426" s="11">
        <f t="shared" si="3"/>
        <v>0</v>
      </c>
      <c r="J426" s="11"/>
      <c r="K426" s="11">
        <f t="shared" si="11"/>
        <v>0</v>
      </c>
      <c r="L426" s="11"/>
      <c r="M426" s="11">
        <f t="shared" si="5"/>
        <v>0</v>
      </c>
      <c r="N426" s="11"/>
      <c r="O426" s="11">
        <f t="shared" si="6"/>
        <v>0</v>
      </c>
      <c r="P426" s="11" t="str">
        <f t="shared" si="7"/>
        <v>Punkte M 7-9</v>
      </c>
      <c r="Q426" s="11" t="str">
        <f t="shared" si="8"/>
        <v>Noten-Matrix-Jungen</v>
      </c>
      <c r="R426" s="13">
        <f t="shared" si="9"/>
        <v>0</v>
      </c>
      <c r="S426" s="11" t="str">
        <f>IF(R426=0, "Keine Teilnahme", IFERROR(IF(R426&gt;=VLOOKUP(G426&amp;LOWER(E426), Formeln!$H$2:$K$30, 4, FALSE), "Ehrenurkunde", IF(R426&gt;=VLOOKUP(G426&amp;LOWER(E426), Formeln!$H$2:$K$30, 3, FALSE), "Siegerurkunde", "Teilnehmerurkunde")), "Keine Urkunde"))</f>
        <v>Keine Teilnahme</v>
      </c>
      <c r="T426" s="14" t="str">
        <f t="shared" si="10"/>
        <v>Keine Teilnahme</v>
      </c>
    </row>
    <row r="427" ht="19.5" hidden="1" customHeight="1">
      <c r="A427" s="15" t="str">
        <f>IF(ASV_Daten!A416="","",ASV_Daten!A416)</f>
        <v>R9C</v>
      </c>
      <c r="B427" s="15" t="str">
        <f>IF(ASV_Daten!B416="","",ASV_Daten!B416)</f>
        <v>Scheer</v>
      </c>
      <c r="C427" s="15" t="str">
        <f>IF(ASV_Daten!C416="","",ASV_Daten!C416)</f>
        <v>Zoey</v>
      </c>
      <c r="D427" s="35">
        <f>IF(ASV_Daten!D416="","",ASV_Daten!D416)</f>
        <v>2011</v>
      </c>
      <c r="E427" s="15" t="str">
        <f>IF(ASV_Daten!E416="","",ASV_Daten!E416)</f>
        <v>W</v>
      </c>
      <c r="F427" s="16" t="str">
        <f t="shared" si="1"/>
        <v>9</v>
      </c>
      <c r="G427" s="17">
        <f t="shared" si="2"/>
        <v>15</v>
      </c>
      <c r="H427" s="19"/>
      <c r="I427" s="19">
        <f t="shared" si="3"/>
        <v>0</v>
      </c>
      <c r="J427" s="19"/>
      <c r="K427" s="19">
        <f t="shared" si="11"/>
        <v>0</v>
      </c>
      <c r="L427" s="19"/>
      <c r="M427" s="19">
        <f t="shared" si="5"/>
        <v>0</v>
      </c>
      <c r="N427" s="19"/>
      <c r="O427" s="19">
        <f t="shared" si="6"/>
        <v>0</v>
      </c>
      <c r="P427" s="19" t="str">
        <f t="shared" si="7"/>
        <v>Punkte W 7-9</v>
      </c>
      <c r="Q427" s="19" t="str">
        <f t="shared" si="8"/>
        <v>Noten-Matrix-Mädchen</v>
      </c>
      <c r="R427" s="21">
        <f t="shared" si="9"/>
        <v>0</v>
      </c>
      <c r="S427" s="19" t="str">
        <f>IF(R427=0, "Keine Teilnahme", IFERROR(IF(R427&gt;=VLOOKUP(G427&amp;LOWER(E427), Formeln!$H$2:$K$30, 4, FALSE), "Ehrenurkunde", IF(R427&gt;=VLOOKUP(G427&amp;LOWER(E427), Formeln!$H$2:$K$30, 3, FALSE), "Siegerurkunde", "Teilnehmerurkunde")), "Keine Urkunde"))</f>
        <v>Keine Teilnahme</v>
      </c>
      <c r="T427" s="22" t="str">
        <f t="shared" si="10"/>
        <v>Keine Teilnahme</v>
      </c>
    </row>
    <row r="428" ht="19.5" hidden="1" customHeight="1">
      <c r="A428" s="7" t="str">
        <f>IF(ASV_Daten!A448="","",ASV_Daten!A448)</f>
        <v>R9D</v>
      </c>
      <c r="B428" s="7" t="str">
        <f>IF(ASV_Daten!B448="","",ASV_Daten!B448)</f>
        <v>Vasylenko</v>
      </c>
      <c r="C428" s="7" t="str">
        <f>IF(ASV_Daten!C448="","",ASV_Daten!C448)</f>
        <v>Anastasia</v>
      </c>
      <c r="D428" s="34">
        <f>IF(ASV_Daten!D448="","",ASV_Daten!D448)</f>
        <v>2010</v>
      </c>
      <c r="E428" s="7" t="str">
        <f>IF(ASV_Daten!E448="","",ASV_Daten!E448)</f>
        <v>W</v>
      </c>
      <c r="F428" s="8" t="str">
        <f t="shared" si="1"/>
        <v>9</v>
      </c>
      <c r="G428" s="9">
        <f t="shared" si="2"/>
        <v>16</v>
      </c>
      <c r="H428" s="27"/>
      <c r="I428" s="11">
        <f t="shared" si="3"/>
        <v>0</v>
      </c>
      <c r="J428" s="11"/>
      <c r="K428" s="11">
        <f t="shared" si="11"/>
        <v>0</v>
      </c>
      <c r="L428" s="11"/>
      <c r="M428" s="11">
        <f t="shared" si="5"/>
        <v>0</v>
      </c>
      <c r="N428" s="11"/>
      <c r="O428" s="11">
        <f t="shared" si="6"/>
        <v>0</v>
      </c>
      <c r="P428" s="11" t="str">
        <f t="shared" si="7"/>
        <v>Punkte W 7-9</v>
      </c>
      <c r="Q428" s="11" t="str">
        <f t="shared" si="8"/>
        <v>Noten-Matrix-Mädchen</v>
      </c>
      <c r="R428" s="13">
        <f t="shared" si="9"/>
        <v>0</v>
      </c>
      <c r="S428" s="11" t="str">
        <f>IF(R428=0, "Keine Teilnahme", IFERROR(IF(R428&gt;=VLOOKUP(G428&amp;LOWER(E428), Formeln!$H$2:$K$30, 4, FALSE), "Ehrenurkunde", IF(R428&gt;=VLOOKUP(G428&amp;LOWER(E428), Formeln!$H$2:$K$30, 3, FALSE), "Siegerurkunde", "Teilnehmerurkunde")), "Keine Urkunde"))</f>
        <v>Keine Teilnahme</v>
      </c>
      <c r="T428" s="14" t="str">
        <f t="shared" si="10"/>
        <v>Keine Teilnahme</v>
      </c>
    </row>
    <row r="429" ht="19.5" hidden="1" customHeight="1">
      <c r="A429" s="15" t="str">
        <f>IF(ASV_Daten!A435="","",ASV_Daten!A435)</f>
        <v>R9D</v>
      </c>
      <c r="B429" s="15" t="str">
        <f>IF(ASV_Daten!B435="","",ASV_Daten!B435)</f>
        <v>Jäckle</v>
      </c>
      <c r="C429" s="15" t="str">
        <f>IF(ASV_Daten!C435="","",ASV_Daten!C435)</f>
        <v>Benjamin</v>
      </c>
      <c r="D429" s="35">
        <f>IF(ASV_Daten!D435="","",ASV_Daten!D435)</f>
        <v>2011</v>
      </c>
      <c r="E429" s="15" t="str">
        <f>IF(ASV_Daten!E435="","",ASV_Daten!E435)</f>
        <v>M</v>
      </c>
      <c r="F429" s="16" t="str">
        <f t="shared" si="1"/>
        <v>9</v>
      </c>
      <c r="G429" s="17">
        <f t="shared" si="2"/>
        <v>15</v>
      </c>
      <c r="H429" s="25"/>
      <c r="I429" s="19">
        <f t="shared" si="3"/>
        <v>0</v>
      </c>
      <c r="J429" s="19"/>
      <c r="K429" s="19">
        <f t="shared" si="11"/>
        <v>0</v>
      </c>
      <c r="L429" s="19"/>
      <c r="M429" s="19">
        <f t="shared" si="5"/>
        <v>0</v>
      </c>
      <c r="N429" s="20">
        <v>52.0</v>
      </c>
      <c r="O429" s="19">
        <f t="shared" si="6"/>
        <v>425</v>
      </c>
      <c r="P429" s="19" t="str">
        <f t="shared" si="7"/>
        <v>Punkte M 7-9</v>
      </c>
      <c r="Q429" s="19" t="str">
        <f t="shared" si="8"/>
        <v>Noten-Matrix-Jungen</v>
      </c>
      <c r="R429" s="21">
        <f t="shared" si="9"/>
        <v>425</v>
      </c>
      <c r="S429" s="19" t="str">
        <f>IF(R429=0, "Keine Teilnahme", IFERROR(IF(R429&gt;=VLOOKUP(G429&amp;LOWER(E429), Formeln!$H$2:$K$30, 4, FALSE), "Ehrenurkunde", IF(R429&gt;=VLOOKUP(G429&amp;LOWER(E429), Formeln!$H$2:$K$30, 3, FALSE), "Siegerurkunde", "Teilnehmerurkunde")), "Keine Urkunde"))</f>
        <v>Teilnehmerurkunde</v>
      </c>
      <c r="T429" s="22" t="str">
        <f t="shared" si="10"/>
        <v>NOTE</v>
      </c>
    </row>
    <row r="430" ht="19.5" hidden="1" customHeight="1">
      <c r="A430" s="7" t="str">
        <f>IF(ASV_Daten!A451="","",ASV_Daten!A451)</f>
        <v/>
      </c>
      <c r="B430" s="7" t="str">
        <f>IF(ASV_Daten!B451="","",ASV_Daten!B451)</f>
        <v/>
      </c>
      <c r="C430" s="7" t="str">
        <f>IF(ASV_Daten!C451="","",ASV_Daten!C451)</f>
        <v/>
      </c>
      <c r="D430" s="34" t="str">
        <f>IF(ASV_Daten!D451="","",ASV_Daten!D451)</f>
        <v/>
      </c>
      <c r="E430" s="7" t="str">
        <f>IF(ASV_Daten!E451="","",ASV_Daten!E451)</f>
        <v/>
      </c>
      <c r="F430" s="8" t="str">
        <f t="shared" si="1"/>
        <v/>
      </c>
      <c r="G430" s="9">
        <f t="shared" si="2"/>
        <v>2026</v>
      </c>
      <c r="H430" s="27"/>
      <c r="I430" s="11">
        <f t="shared" si="3"/>
        <v>0</v>
      </c>
      <c r="J430" s="11"/>
      <c r="K430" s="11">
        <f t="shared" si="11"/>
        <v>0</v>
      </c>
      <c r="L430" s="11"/>
      <c r="M430" s="11">
        <f t="shared" si="5"/>
        <v>0</v>
      </c>
      <c r="N430" s="11"/>
      <c r="O430" s="11">
        <f t="shared" si="6"/>
        <v>0</v>
      </c>
      <c r="P430" s="11" t="str">
        <f t="shared" si="7"/>
        <v>Punkte M 7-9</v>
      </c>
      <c r="Q430" s="11" t="str">
        <f t="shared" si="8"/>
        <v>Noten-Matrix-Jungen</v>
      </c>
      <c r="R430" s="13">
        <f t="shared" si="9"/>
        <v>0</v>
      </c>
      <c r="S430" s="11" t="str">
        <f>IF(R430=0, "Keine Teilnahme", IFERROR(IF(R430&gt;=VLOOKUP(G430&amp;LOWER(E430), Formeln!$H$2:$K$11, 4, FALSE), "Ehrenurkunde", IF(R430&gt;=VLOOKUP(G430&amp;LOWER(E430), Formeln!$H$2:$K$11, 3, FALSE), "Siegerurkunde", "Teilnehmerurkunde")), "Keine Urkunde"))</f>
        <v>Keine Teilnahme</v>
      </c>
      <c r="T430" s="14" t="str">
        <f t="shared" si="10"/>
        <v>Keine Teilnahme</v>
      </c>
    </row>
    <row r="431" ht="19.5" hidden="1" customHeight="1">
      <c r="A431" s="15" t="str">
        <f>IF(ASV_Daten!A445="","",ASV_Daten!A445)</f>
        <v>R9D</v>
      </c>
      <c r="B431" s="15" t="str">
        <f>IF(ASV_Daten!B445="","",ASV_Daten!B445)</f>
        <v>Schall</v>
      </c>
      <c r="C431" s="15" t="str">
        <f>IF(ASV_Daten!C445="","",ASV_Daten!C445)</f>
        <v>Dennis</v>
      </c>
      <c r="D431" s="35">
        <f>IF(ASV_Daten!D445="","",ASV_Daten!D445)</f>
        <v>2011</v>
      </c>
      <c r="E431" s="15" t="str">
        <f>IF(ASV_Daten!E445="","",ASV_Daten!E445)</f>
        <v>M</v>
      </c>
      <c r="F431" s="16" t="str">
        <f t="shared" si="1"/>
        <v>9</v>
      </c>
      <c r="G431" s="17">
        <f t="shared" si="2"/>
        <v>15</v>
      </c>
      <c r="H431" s="19"/>
      <c r="I431" s="19">
        <f t="shared" si="3"/>
        <v>0</v>
      </c>
      <c r="J431" s="20">
        <v>9.7</v>
      </c>
      <c r="K431" s="19">
        <f t="shared" si="11"/>
        <v>518</v>
      </c>
      <c r="L431" s="19"/>
      <c r="M431" s="19">
        <f t="shared" si="5"/>
        <v>0</v>
      </c>
      <c r="N431" s="20">
        <v>36.5</v>
      </c>
      <c r="O431" s="19">
        <f t="shared" si="6"/>
        <v>331</v>
      </c>
      <c r="P431" s="19" t="str">
        <f t="shared" si="7"/>
        <v>Punkte M 7-9</v>
      </c>
      <c r="Q431" s="19" t="str">
        <f t="shared" si="8"/>
        <v>Noten-Matrix-Jungen</v>
      </c>
      <c r="R431" s="21">
        <f t="shared" si="9"/>
        <v>849</v>
      </c>
      <c r="S431" s="19" t="str">
        <f>IF(R431=0, "Keine Teilnahme", IFERROR(IF(R431&gt;=VLOOKUP(G431&amp;LOWER(E431), Formeln!$H$2:$K$30, 4, FALSE), "Ehrenurkunde", IF(R431&gt;=VLOOKUP(G431&amp;LOWER(E431), Formeln!$H$2:$K$30, 3, FALSE), "Siegerurkunde", "Teilnehmerurkunde")), "Keine Urkunde"))</f>
        <v>Teilnehmerurkunde</v>
      </c>
      <c r="T431" s="22">
        <f t="shared" si="10"/>
        <v>3.6</v>
      </c>
    </row>
    <row r="432" ht="19.5" hidden="1" customHeight="1">
      <c r="A432" s="7" t="str">
        <f>IF(ASV_Daten!A453="","",ASV_Daten!A453)</f>
        <v/>
      </c>
      <c r="B432" s="7" t="str">
        <f>IF(ASV_Daten!B453="","",ASV_Daten!B453)</f>
        <v/>
      </c>
      <c r="C432" s="7" t="str">
        <f>IF(ASV_Daten!C453="","",ASV_Daten!C453)</f>
        <v/>
      </c>
      <c r="D432" s="34" t="str">
        <f>IF(ASV_Daten!D453="","",ASV_Daten!D453)</f>
        <v/>
      </c>
      <c r="E432" s="7" t="str">
        <f>IF(ASV_Daten!E453="","",ASV_Daten!E453)</f>
        <v/>
      </c>
      <c r="F432" s="8" t="str">
        <f t="shared" si="1"/>
        <v/>
      </c>
      <c r="G432" s="9">
        <f t="shared" si="2"/>
        <v>2026</v>
      </c>
      <c r="H432" s="27"/>
      <c r="I432" s="11">
        <f t="shared" si="3"/>
        <v>0</v>
      </c>
      <c r="J432" s="11"/>
      <c r="K432" s="11">
        <f t="shared" si="11"/>
        <v>0</v>
      </c>
      <c r="L432" s="11"/>
      <c r="M432" s="11">
        <f t="shared" si="5"/>
        <v>0</v>
      </c>
      <c r="N432" s="11"/>
      <c r="O432" s="11">
        <f t="shared" si="6"/>
        <v>0</v>
      </c>
      <c r="P432" s="11" t="str">
        <f t="shared" si="7"/>
        <v>Punkte M 7-9</v>
      </c>
      <c r="Q432" s="11" t="str">
        <f t="shared" si="8"/>
        <v>Noten-Matrix-Jungen</v>
      </c>
      <c r="R432" s="13">
        <f t="shared" si="9"/>
        <v>0</v>
      </c>
      <c r="S432" s="11" t="str">
        <f>IF(R432=0, "Keine Teilnahme", IFERROR(IF(R432&gt;=VLOOKUP(G432&amp;LOWER(E432), Formeln!$H$2:$K$11, 4, FALSE), "Ehrenurkunde", IF(R432&gt;=VLOOKUP(G432&amp;LOWER(E432), Formeln!$H$2:$K$11, 3, FALSE), "Siegerurkunde", "Teilnehmerurkunde")), "Keine Urkunde"))</f>
        <v>Keine Teilnahme</v>
      </c>
      <c r="T432" s="14" t="str">
        <f t="shared" si="10"/>
        <v>Keine Teilnahme</v>
      </c>
    </row>
    <row r="433" ht="19.5" hidden="1" customHeight="1">
      <c r="A433" s="15" t="str">
        <f>IF(ASV_Daten!A447="","",ASV_Daten!A447)</f>
        <v>R9D</v>
      </c>
      <c r="B433" s="15" t="str">
        <f>IF(ASV_Daten!B447="","",ASV_Daten!B447)</f>
        <v>Stahl</v>
      </c>
      <c r="C433" s="15" t="str">
        <f>IF(ASV_Daten!C447="","",ASV_Daten!C447)</f>
        <v>Dustin</v>
      </c>
      <c r="D433" s="35">
        <f>IF(ASV_Daten!D447="","",ASV_Daten!D447)</f>
        <v>2010</v>
      </c>
      <c r="E433" s="15" t="str">
        <f>IF(ASV_Daten!E447="","",ASV_Daten!E447)</f>
        <v>M</v>
      </c>
      <c r="F433" s="16" t="str">
        <f t="shared" si="1"/>
        <v>9</v>
      </c>
      <c r="G433" s="17">
        <f t="shared" si="2"/>
        <v>16</v>
      </c>
      <c r="H433" s="25"/>
      <c r="I433" s="19">
        <f t="shared" si="3"/>
        <v>0</v>
      </c>
      <c r="J433" s="20">
        <v>10.6</v>
      </c>
      <c r="K433" s="19">
        <f t="shared" si="11"/>
        <v>424</v>
      </c>
      <c r="L433" s="19"/>
      <c r="M433" s="19">
        <f t="shared" si="5"/>
        <v>0</v>
      </c>
      <c r="N433" s="20">
        <v>33.0</v>
      </c>
      <c r="O433" s="19">
        <f t="shared" si="6"/>
        <v>307</v>
      </c>
      <c r="P433" s="19" t="str">
        <f t="shared" si="7"/>
        <v>Punkte M 7-9</v>
      </c>
      <c r="Q433" s="19" t="str">
        <f t="shared" si="8"/>
        <v>Noten-Matrix-Jungen</v>
      </c>
      <c r="R433" s="21">
        <f t="shared" si="9"/>
        <v>731</v>
      </c>
      <c r="S433" s="19" t="str">
        <f>IF(R433=0, "Keine Teilnahme", IFERROR(IF(R433&gt;=VLOOKUP(G433&amp;LOWER(E433), Formeln!$H$2:$K$30, 4, FALSE), "Ehrenurkunde", IF(R433&gt;=VLOOKUP(G433&amp;LOWER(E433), Formeln!$H$2:$K$30, 3, FALSE), "Siegerurkunde", "Teilnehmerurkunde")), "Keine Urkunde"))</f>
        <v>Teilnehmerurkunde</v>
      </c>
      <c r="T433" s="22" t="str">
        <f t="shared" si="10"/>
        <v>NOTE</v>
      </c>
    </row>
    <row r="434" ht="19.5" hidden="1" customHeight="1">
      <c r="A434" s="7" t="str">
        <f>IF(ASV_Daten!A449="","",ASV_Daten!A449)</f>
        <v>R9D</v>
      </c>
      <c r="B434" s="7" t="str">
        <f>IF(ASV_Daten!B449="","",ASV_Daten!B449)</f>
        <v>Waldvogel</v>
      </c>
      <c r="C434" s="7" t="str">
        <f>IF(ASV_Daten!C449="","",ASV_Daten!C449)</f>
        <v>Eleni</v>
      </c>
      <c r="D434" s="34">
        <f>IF(ASV_Daten!D449="","",ASV_Daten!D449)</f>
        <v>2011</v>
      </c>
      <c r="E434" s="7" t="str">
        <f>IF(ASV_Daten!E449="","",ASV_Daten!E449)</f>
        <v>W</v>
      </c>
      <c r="F434" s="8" t="str">
        <f t="shared" si="1"/>
        <v>9</v>
      </c>
      <c r="G434" s="9">
        <f t="shared" si="2"/>
        <v>15</v>
      </c>
      <c r="H434" s="11"/>
      <c r="I434" s="11">
        <f t="shared" si="3"/>
        <v>0</v>
      </c>
      <c r="J434" s="12">
        <v>11.6</v>
      </c>
      <c r="K434" s="11">
        <f t="shared" si="11"/>
        <v>354</v>
      </c>
      <c r="L434" s="11"/>
      <c r="M434" s="11">
        <f t="shared" si="5"/>
        <v>0</v>
      </c>
      <c r="N434" s="12">
        <v>17.5</v>
      </c>
      <c r="O434" s="11">
        <f t="shared" si="6"/>
        <v>266</v>
      </c>
      <c r="P434" s="11" t="str">
        <f t="shared" si="7"/>
        <v>Punkte W 7-9</v>
      </c>
      <c r="Q434" s="11" t="str">
        <f t="shared" si="8"/>
        <v>Noten-Matrix-Mädchen</v>
      </c>
      <c r="R434" s="13">
        <f t="shared" si="9"/>
        <v>620</v>
      </c>
      <c r="S434" s="11" t="str">
        <f>IF(R434=0, "Keine Teilnahme", IFERROR(IF(R434&gt;=VLOOKUP(G434&amp;LOWER(E434), Formeln!$H$2:$K$30, 4, FALSE), "Ehrenurkunde", IF(R434&gt;=VLOOKUP(G434&amp;LOWER(E434), Formeln!$H$2:$K$30, 3, FALSE), "Siegerurkunde", "Teilnehmerurkunde")), "Keine Urkunde"))</f>
        <v>Teilnehmerurkunde</v>
      </c>
      <c r="T434" s="14" t="str">
        <f t="shared" si="10"/>
        <v>NOTE</v>
      </c>
    </row>
    <row r="435" ht="19.5" hidden="1" customHeight="1">
      <c r="A435" s="15" t="str">
        <f>IF(ASV_Daten!A437="","",ASV_Daten!A437)</f>
        <v>R9D</v>
      </c>
      <c r="B435" s="15" t="str">
        <f>IF(ASV_Daten!B437="","",ASV_Daten!B437)</f>
        <v>Kleiser</v>
      </c>
      <c r="C435" s="15" t="str">
        <f>IF(ASV_Daten!C437="","",ASV_Daten!C437)</f>
        <v>Fabienne</v>
      </c>
      <c r="D435" s="35">
        <f>IF(ASV_Daten!D437="","",ASV_Daten!D437)</f>
        <v>2011</v>
      </c>
      <c r="E435" s="15" t="str">
        <f>IF(ASV_Daten!E437="","",ASV_Daten!E437)</f>
        <v>W</v>
      </c>
      <c r="F435" s="16" t="str">
        <f t="shared" si="1"/>
        <v>9</v>
      </c>
      <c r="G435" s="17">
        <f t="shared" si="2"/>
        <v>15</v>
      </c>
      <c r="H435" s="19"/>
      <c r="I435" s="19">
        <f t="shared" si="3"/>
        <v>0</v>
      </c>
      <c r="J435" s="20">
        <v>11.4</v>
      </c>
      <c r="K435" s="19">
        <f t="shared" si="11"/>
        <v>370</v>
      </c>
      <c r="L435" s="19"/>
      <c r="M435" s="19">
        <f t="shared" si="5"/>
        <v>0</v>
      </c>
      <c r="N435" s="20">
        <v>16.5</v>
      </c>
      <c r="O435" s="19">
        <f t="shared" si="6"/>
        <v>254</v>
      </c>
      <c r="P435" s="19" t="str">
        <f t="shared" si="7"/>
        <v>Punkte W 7-9</v>
      </c>
      <c r="Q435" s="19" t="str">
        <f t="shared" si="8"/>
        <v>Noten-Matrix-Mädchen</v>
      </c>
      <c r="R435" s="21">
        <f t="shared" si="9"/>
        <v>624</v>
      </c>
      <c r="S435" s="19" t="str">
        <f>IF(R435=0, "Keine Teilnahme", IFERROR(IF(R435&gt;=VLOOKUP(G435&amp;LOWER(E435), Formeln!$H$2:$K$30, 4, FALSE), "Ehrenurkunde", IF(R435&gt;=VLOOKUP(G435&amp;LOWER(E435), Formeln!$H$2:$K$30, 3, FALSE), "Siegerurkunde", "Teilnehmerurkunde")), "Keine Urkunde"))</f>
        <v>Teilnehmerurkunde</v>
      </c>
      <c r="T435" s="22" t="str">
        <f t="shared" si="10"/>
        <v>NOTE</v>
      </c>
    </row>
    <row r="436" ht="19.5" hidden="1" customHeight="1">
      <c r="A436" s="7" t="str">
        <f>IF(ASV_Daten!A428="","",ASV_Daten!A428)</f>
        <v>R9D</v>
      </c>
      <c r="B436" s="7" t="str">
        <f>IF(ASV_Daten!B428="","",ASV_Daten!B428)</f>
        <v>Denaro</v>
      </c>
      <c r="C436" s="7" t="str">
        <f>IF(ASV_Daten!C428="","",ASV_Daten!C428)</f>
        <v>Francesco</v>
      </c>
      <c r="D436" s="34">
        <f>IF(ASV_Daten!D428="","",ASV_Daten!D428)</f>
        <v>2011</v>
      </c>
      <c r="E436" s="7" t="str">
        <f>IF(ASV_Daten!E428="","",ASV_Daten!E428)</f>
        <v>M</v>
      </c>
      <c r="F436" s="8" t="str">
        <f t="shared" si="1"/>
        <v>9</v>
      </c>
      <c r="G436" s="9">
        <f t="shared" si="2"/>
        <v>15</v>
      </c>
      <c r="H436" s="11"/>
      <c r="I436" s="11">
        <f t="shared" si="3"/>
        <v>0</v>
      </c>
      <c r="J436" s="12">
        <v>12.3</v>
      </c>
      <c r="K436" s="11">
        <f t="shared" si="11"/>
        <v>283</v>
      </c>
      <c r="L436" s="11"/>
      <c r="M436" s="11">
        <f t="shared" si="5"/>
        <v>0</v>
      </c>
      <c r="N436" s="12">
        <v>28.5</v>
      </c>
      <c r="O436" s="11">
        <f t="shared" si="6"/>
        <v>274</v>
      </c>
      <c r="P436" s="11" t="str">
        <f t="shared" si="7"/>
        <v>Punkte M 7-9</v>
      </c>
      <c r="Q436" s="11" t="str">
        <f t="shared" si="8"/>
        <v>Noten-Matrix-Jungen</v>
      </c>
      <c r="R436" s="13">
        <f t="shared" si="9"/>
        <v>557</v>
      </c>
      <c r="S436" s="11" t="str">
        <f>IF(R436=0, "Keine Teilnahme", IFERROR(IF(R436&gt;=VLOOKUP(G436&amp;LOWER(E436), Formeln!$H$2:$K$30, 4, FALSE), "Ehrenurkunde", IF(R436&gt;=VLOOKUP(G436&amp;LOWER(E436), Formeln!$H$2:$K$30, 3, FALSE), "Siegerurkunde", "Teilnehmerurkunde")), "Keine Urkunde"))</f>
        <v>Teilnehmerurkunde</v>
      </c>
      <c r="T436" s="14" t="str">
        <f t="shared" si="10"/>
        <v>NOTE</v>
      </c>
    </row>
    <row r="437" ht="19.5" hidden="1" customHeight="1">
      <c r="A437" s="15" t="str">
        <f>IF(ASV_Daten!A446="","",ASV_Daten!A446)</f>
        <v>R9D</v>
      </c>
      <c r="B437" s="15" t="str">
        <f>IF(ASV_Daten!B446="","",ASV_Daten!B446)</f>
        <v>Sick</v>
      </c>
      <c r="C437" s="15" t="str">
        <f>IF(ASV_Daten!C446="","",ASV_Daten!C446)</f>
        <v>Katy</v>
      </c>
      <c r="D437" s="35">
        <f>IF(ASV_Daten!D446="","",ASV_Daten!D446)</f>
        <v>2010</v>
      </c>
      <c r="E437" s="15" t="str">
        <f>IF(ASV_Daten!E446="","",ASV_Daten!E446)</f>
        <v>W</v>
      </c>
      <c r="F437" s="16" t="str">
        <f t="shared" si="1"/>
        <v>9</v>
      </c>
      <c r="G437" s="17">
        <f t="shared" si="2"/>
        <v>16</v>
      </c>
      <c r="H437" s="25"/>
      <c r="I437" s="19">
        <f t="shared" si="3"/>
        <v>0</v>
      </c>
      <c r="J437" s="19"/>
      <c r="K437" s="19">
        <f t="shared" si="11"/>
        <v>0</v>
      </c>
      <c r="L437" s="19"/>
      <c r="M437" s="19">
        <f t="shared" si="5"/>
        <v>0</v>
      </c>
      <c r="N437" s="19"/>
      <c r="O437" s="19">
        <f t="shared" si="6"/>
        <v>0</v>
      </c>
      <c r="P437" s="19" t="str">
        <f t="shared" si="7"/>
        <v>Punkte W 7-9</v>
      </c>
      <c r="Q437" s="19" t="str">
        <f t="shared" si="8"/>
        <v>Noten-Matrix-Mädchen</v>
      </c>
      <c r="R437" s="21">
        <f t="shared" si="9"/>
        <v>0</v>
      </c>
      <c r="S437" s="19" t="str">
        <f>IF(R437=0, "Keine Teilnahme", IFERROR(IF(R437&gt;=VLOOKUP(G437&amp;LOWER(E437), Formeln!$H$2:$K$30, 4, FALSE), "Ehrenurkunde", IF(R437&gt;=VLOOKUP(G437&amp;LOWER(E437), Formeln!$H$2:$K$30, 3, FALSE), "Siegerurkunde", "Teilnehmerurkunde")), "Keine Urkunde"))</f>
        <v>Keine Teilnahme</v>
      </c>
      <c r="T437" s="22" t="str">
        <f t="shared" si="10"/>
        <v>Keine Teilnahme</v>
      </c>
    </row>
    <row r="438" ht="19.5" hidden="1" customHeight="1">
      <c r="A438" s="7" t="str">
        <f>IF(ASV_Daten!A431="","",ASV_Daten!A431)</f>
        <v>R9D</v>
      </c>
      <c r="B438" s="7" t="str">
        <f>IF(ASV_Daten!B431="","",ASV_Daten!B431)</f>
        <v>Günther</v>
      </c>
      <c r="C438" s="7" t="str">
        <f>IF(ASV_Daten!C431="","",ASV_Daten!C431)</f>
        <v>Lars</v>
      </c>
      <c r="D438" s="34">
        <f>IF(ASV_Daten!D431="","",ASV_Daten!D431)</f>
        <v>2011</v>
      </c>
      <c r="E438" s="7" t="str">
        <f>IF(ASV_Daten!E431="","",ASV_Daten!E431)</f>
        <v>M</v>
      </c>
      <c r="F438" s="8" t="str">
        <f t="shared" si="1"/>
        <v>9</v>
      </c>
      <c r="G438" s="9">
        <f t="shared" si="2"/>
        <v>15</v>
      </c>
      <c r="H438" s="27"/>
      <c r="I438" s="11">
        <f t="shared" si="3"/>
        <v>0</v>
      </c>
      <c r="J438" s="12">
        <v>11.8</v>
      </c>
      <c r="K438" s="11">
        <f t="shared" si="11"/>
        <v>320</v>
      </c>
      <c r="L438" s="11"/>
      <c r="M438" s="11">
        <f t="shared" si="5"/>
        <v>0</v>
      </c>
      <c r="N438" s="12">
        <v>33.5</v>
      </c>
      <c r="O438" s="11">
        <f t="shared" si="6"/>
        <v>310</v>
      </c>
      <c r="P438" s="11" t="str">
        <f t="shared" si="7"/>
        <v>Punkte M 7-9</v>
      </c>
      <c r="Q438" s="11" t="str">
        <f t="shared" si="8"/>
        <v>Noten-Matrix-Jungen</v>
      </c>
      <c r="R438" s="13">
        <f t="shared" si="9"/>
        <v>630</v>
      </c>
      <c r="S438" s="11" t="str">
        <f>IF(R438=0, "Keine Teilnahme", IFERROR(IF(R438&gt;=VLOOKUP(G438&amp;LOWER(E438), Formeln!$H$2:$K$30, 4, FALSE), "Ehrenurkunde", IF(R438&gt;=VLOOKUP(G438&amp;LOWER(E438), Formeln!$H$2:$K$30, 3, FALSE), "Siegerurkunde", "Teilnehmerurkunde")), "Keine Urkunde"))</f>
        <v>Teilnehmerurkunde</v>
      </c>
      <c r="T438" s="14" t="str">
        <f t="shared" si="10"/>
        <v>NOTE</v>
      </c>
    </row>
    <row r="439" ht="19.5" hidden="1" customHeight="1">
      <c r="A439" s="15" t="str">
        <f>IF(ASV_Daten!A430="","",ASV_Daten!A430)</f>
        <v>R9D</v>
      </c>
      <c r="B439" s="15" t="str">
        <f>IF(ASV_Daten!B430="","",ASV_Daten!B430)</f>
        <v>Faller</v>
      </c>
      <c r="C439" s="15" t="str">
        <f>IF(ASV_Daten!C430="","",ASV_Daten!C430)</f>
        <v>Lena</v>
      </c>
      <c r="D439" s="35">
        <f>IF(ASV_Daten!D430="","",ASV_Daten!D430)</f>
        <v>2011</v>
      </c>
      <c r="E439" s="15" t="str">
        <f>IF(ASV_Daten!E430="","",ASV_Daten!E430)</f>
        <v>W</v>
      </c>
      <c r="F439" s="16" t="str">
        <f t="shared" si="1"/>
        <v>9</v>
      </c>
      <c r="G439" s="17">
        <f t="shared" si="2"/>
        <v>15</v>
      </c>
      <c r="H439" s="19"/>
      <c r="I439" s="19">
        <f t="shared" si="3"/>
        <v>0</v>
      </c>
      <c r="J439" s="20">
        <v>11.4</v>
      </c>
      <c r="K439" s="19">
        <f t="shared" si="11"/>
        <v>370</v>
      </c>
      <c r="L439" s="19"/>
      <c r="M439" s="19">
        <f t="shared" si="5"/>
        <v>0</v>
      </c>
      <c r="N439" s="20">
        <v>19.5</v>
      </c>
      <c r="O439" s="19">
        <f t="shared" si="6"/>
        <v>288</v>
      </c>
      <c r="P439" s="19" t="str">
        <f t="shared" si="7"/>
        <v>Punkte W 7-9</v>
      </c>
      <c r="Q439" s="19" t="str">
        <f t="shared" si="8"/>
        <v>Noten-Matrix-Mädchen</v>
      </c>
      <c r="R439" s="21">
        <f t="shared" si="9"/>
        <v>658</v>
      </c>
      <c r="S439" s="19" t="str">
        <f>IF(R439=0, "Keine Teilnahme", IFERROR(IF(R439&gt;=VLOOKUP(G439&amp;LOWER(E439), Formeln!$H$2:$K$30, 4, FALSE), "Ehrenurkunde", IF(R439&gt;=VLOOKUP(G439&amp;LOWER(E439), Formeln!$H$2:$K$30, 3, FALSE), "Siegerurkunde", "Teilnehmerurkunde")), "Keine Urkunde"))</f>
        <v>Teilnehmerurkunde</v>
      </c>
      <c r="T439" s="22" t="str">
        <f t="shared" si="10"/>
        <v>NOTE</v>
      </c>
    </row>
    <row r="440" ht="19.5" hidden="1" customHeight="1">
      <c r="A440" s="7" t="str">
        <f>IF(ASV_Daten!A432="","",ASV_Daten!A432)</f>
        <v>R9D</v>
      </c>
      <c r="B440" s="7" t="str">
        <f>IF(ASV_Daten!B432="","",ASV_Daten!B432)</f>
        <v>Hämmerle</v>
      </c>
      <c r="C440" s="7" t="str">
        <f>IF(ASV_Daten!C432="","",ASV_Daten!C432)</f>
        <v>Lena</v>
      </c>
      <c r="D440" s="34">
        <f>IF(ASV_Daten!D432="","",ASV_Daten!D432)</f>
        <v>2011</v>
      </c>
      <c r="E440" s="7" t="str">
        <f>IF(ASV_Daten!E432="","",ASV_Daten!E432)</f>
        <v>W</v>
      </c>
      <c r="F440" s="8" t="str">
        <f t="shared" si="1"/>
        <v>9</v>
      </c>
      <c r="G440" s="9">
        <f t="shared" si="2"/>
        <v>15</v>
      </c>
      <c r="H440" s="11"/>
      <c r="I440" s="11">
        <f t="shared" si="3"/>
        <v>0</v>
      </c>
      <c r="J440" s="12">
        <v>12.9</v>
      </c>
      <c r="K440" s="11">
        <f t="shared" si="11"/>
        <v>259</v>
      </c>
      <c r="L440" s="11"/>
      <c r="M440" s="11">
        <f t="shared" si="5"/>
        <v>0</v>
      </c>
      <c r="N440" s="12">
        <v>16.5</v>
      </c>
      <c r="O440" s="11">
        <f t="shared" si="6"/>
        <v>254</v>
      </c>
      <c r="P440" s="11" t="str">
        <f t="shared" si="7"/>
        <v>Punkte W 7-9</v>
      </c>
      <c r="Q440" s="11" t="str">
        <f t="shared" si="8"/>
        <v>Noten-Matrix-Mädchen</v>
      </c>
      <c r="R440" s="13">
        <f t="shared" si="9"/>
        <v>513</v>
      </c>
      <c r="S440" s="11" t="str">
        <f>IF(R440=0, "Keine Teilnahme", IFERROR(IF(R440&gt;=VLOOKUP(G440&amp;LOWER(E440), Formeln!$H$2:$K$30, 4, FALSE), "Ehrenurkunde", IF(R440&gt;=VLOOKUP(G440&amp;LOWER(E440), Formeln!$H$2:$K$30, 3, FALSE), "Siegerurkunde", "Teilnehmerurkunde")), "Keine Urkunde"))</f>
        <v>Teilnehmerurkunde</v>
      </c>
      <c r="T440" s="14" t="str">
        <f t="shared" si="10"/>
        <v>NOTE</v>
      </c>
    </row>
    <row r="441" ht="19.5" hidden="1" customHeight="1">
      <c r="A441" s="15" t="str">
        <f>IF(ASV_Daten!A429="","",ASV_Daten!A429)</f>
        <v>R9D</v>
      </c>
      <c r="B441" s="15" t="str">
        <f>IF(ASV_Daten!B429="","",ASV_Daten!B429)</f>
        <v>Dujakovic</v>
      </c>
      <c r="C441" s="15" t="str">
        <f>IF(ASV_Daten!C429="","",ASV_Daten!C429)</f>
        <v>Leon</v>
      </c>
      <c r="D441" s="35">
        <f>IF(ASV_Daten!D429="","",ASV_Daten!D429)</f>
        <v>2011</v>
      </c>
      <c r="E441" s="15" t="str">
        <f>IF(ASV_Daten!E429="","",ASV_Daten!E429)</f>
        <v>M</v>
      </c>
      <c r="F441" s="16" t="str">
        <f t="shared" si="1"/>
        <v>9</v>
      </c>
      <c r="G441" s="17">
        <f t="shared" si="2"/>
        <v>15</v>
      </c>
      <c r="H441" s="19"/>
      <c r="I441" s="19">
        <f t="shared" si="3"/>
        <v>0</v>
      </c>
      <c r="J441" s="20">
        <v>10.4</v>
      </c>
      <c r="K441" s="19">
        <f t="shared" si="11"/>
        <v>444</v>
      </c>
      <c r="L441" s="19"/>
      <c r="M441" s="19">
        <f t="shared" si="5"/>
        <v>0</v>
      </c>
      <c r="N441" s="20">
        <v>45.0</v>
      </c>
      <c r="O441" s="19">
        <f t="shared" si="6"/>
        <v>384</v>
      </c>
      <c r="P441" s="19" t="str">
        <f t="shared" si="7"/>
        <v>Punkte M 7-9</v>
      </c>
      <c r="Q441" s="19" t="str">
        <f t="shared" si="8"/>
        <v>Noten-Matrix-Jungen</v>
      </c>
      <c r="R441" s="21">
        <f t="shared" si="9"/>
        <v>828</v>
      </c>
      <c r="S441" s="19" t="str">
        <f>IF(R441=0, "Keine Teilnahme", IFERROR(IF(R441&gt;=VLOOKUP(G441&amp;LOWER(E441), Formeln!$H$2:$K$30, 4, FALSE), "Ehrenurkunde", IF(R441&gt;=VLOOKUP(G441&amp;LOWER(E441), Formeln!$H$2:$K$30, 3, FALSE), "Siegerurkunde", "Teilnehmerurkunde")), "Keine Urkunde"))</f>
        <v>Teilnehmerurkunde</v>
      </c>
      <c r="T441" s="22">
        <f t="shared" si="10"/>
        <v>3.8</v>
      </c>
    </row>
    <row r="442" ht="19.5" hidden="1" customHeight="1">
      <c r="A442" s="7" t="str">
        <f>IF(ASV_Daten!A436="","",ASV_Daten!A436)</f>
        <v>R9D</v>
      </c>
      <c r="B442" s="7" t="str">
        <f>IF(ASV_Daten!B436="","",ASV_Daten!B436)</f>
        <v>Jashanica</v>
      </c>
      <c r="C442" s="7" t="str">
        <f>IF(ASV_Daten!C436="","",ASV_Daten!C436)</f>
        <v>Leon</v>
      </c>
      <c r="D442" s="34">
        <f>IF(ASV_Daten!D436="","",ASV_Daten!D436)</f>
        <v>2010</v>
      </c>
      <c r="E442" s="7" t="str">
        <f>IF(ASV_Daten!E436="","",ASV_Daten!E436)</f>
        <v>M</v>
      </c>
      <c r="F442" s="8" t="str">
        <f t="shared" si="1"/>
        <v>9</v>
      </c>
      <c r="G442" s="9">
        <f t="shared" si="2"/>
        <v>16</v>
      </c>
      <c r="H442" s="11"/>
      <c r="I442" s="11">
        <f t="shared" si="3"/>
        <v>0</v>
      </c>
      <c r="J442" s="12">
        <v>10.4</v>
      </c>
      <c r="K442" s="11">
        <f t="shared" si="11"/>
        <v>444</v>
      </c>
      <c r="L442" s="11"/>
      <c r="M442" s="11">
        <f t="shared" si="5"/>
        <v>0</v>
      </c>
      <c r="N442" s="12">
        <v>50.0</v>
      </c>
      <c r="O442" s="11">
        <f t="shared" si="6"/>
        <v>414</v>
      </c>
      <c r="P442" s="11" t="str">
        <f t="shared" si="7"/>
        <v>Punkte M 7-9</v>
      </c>
      <c r="Q442" s="11" t="str">
        <f t="shared" si="8"/>
        <v>Noten-Matrix-Jungen</v>
      </c>
      <c r="R442" s="13">
        <f t="shared" si="9"/>
        <v>858</v>
      </c>
      <c r="S442" s="11" t="str">
        <f>IF(R442=0, "Keine Teilnahme", IFERROR(IF(R442&gt;=VLOOKUP(G442&amp;LOWER(E442), Formeln!$H$2:$K$30, 4, FALSE), "Ehrenurkunde", IF(R442&gt;=VLOOKUP(G442&amp;LOWER(E442), Formeln!$H$2:$K$30, 3, FALSE), "Siegerurkunde", "Teilnehmerurkunde")), "Keine Urkunde"))</f>
        <v>Teilnehmerurkunde</v>
      </c>
      <c r="T442" s="14">
        <f t="shared" si="10"/>
        <v>4.3</v>
      </c>
    </row>
    <row r="443" ht="19.5" hidden="1" customHeight="1">
      <c r="A443" s="15" t="str">
        <f>IF(ASV_Daten!A433="","",ASV_Daten!A433)</f>
        <v>R9D</v>
      </c>
      <c r="B443" s="15" t="str">
        <f>IF(ASV_Daten!B433="","",ASV_Daten!B433)</f>
        <v>Heizmann</v>
      </c>
      <c r="C443" s="15" t="str">
        <f>IF(ASV_Daten!C433="","",ASV_Daten!C433)</f>
        <v>Lilli</v>
      </c>
      <c r="D443" s="35">
        <f>IF(ASV_Daten!D433="","",ASV_Daten!D433)</f>
        <v>2010</v>
      </c>
      <c r="E443" s="15" t="str">
        <f>IF(ASV_Daten!E433="","",ASV_Daten!E433)</f>
        <v>W</v>
      </c>
      <c r="F443" s="16" t="str">
        <f t="shared" si="1"/>
        <v>9</v>
      </c>
      <c r="G443" s="17">
        <f t="shared" si="2"/>
        <v>16</v>
      </c>
      <c r="H443" s="19"/>
      <c r="I443" s="19">
        <f t="shared" si="3"/>
        <v>0</v>
      </c>
      <c r="J443" s="20">
        <v>9.9</v>
      </c>
      <c r="K443" s="19">
        <f t="shared" si="11"/>
        <v>514</v>
      </c>
      <c r="L443" s="19"/>
      <c r="M443" s="19">
        <f t="shared" si="5"/>
        <v>0</v>
      </c>
      <c r="N443" s="20">
        <v>26.5</v>
      </c>
      <c r="O443" s="19">
        <f t="shared" si="6"/>
        <v>359</v>
      </c>
      <c r="P443" s="19" t="str">
        <f t="shared" si="7"/>
        <v>Punkte W 7-9</v>
      </c>
      <c r="Q443" s="19" t="str">
        <f t="shared" si="8"/>
        <v>Noten-Matrix-Mädchen</v>
      </c>
      <c r="R443" s="21">
        <f t="shared" si="9"/>
        <v>873</v>
      </c>
      <c r="S443" s="19" t="str">
        <f>IF(R443=0, "Keine Teilnahme", IFERROR(IF(R443&gt;=VLOOKUP(G443&amp;LOWER(E443), Formeln!$H$2:$K$30, 4, FALSE), "Ehrenurkunde", IF(R443&gt;=VLOOKUP(G443&amp;LOWER(E443), Formeln!$H$2:$K$30, 3, FALSE), "Siegerurkunde", "Teilnehmerurkunde")), "Keine Urkunde"))</f>
        <v>Teilnehmerurkunde</v>
      </c>
      <c r="T443" s="22">
        <f t="shared" si="10"/>
        <v>2.9</v>
      </c>
    </row>
    <row r="444" ht="19.5" hidden="1" customHeight="1">
      <c r="A444" s="7" t="str">
        <f>IF(ASV_Daten!A439="","",ASV_Daten!A439)</f>
        <v>R9D</v>
      </c>
      <c r="B444" s="7" t="str">
        <f>IF(ASV_Daten!B439="","",ASV_Daten!B439)</f>
        <v>Neudecker</v>
      </c>
      <c r="C444" s="7" t="str">
        <f>IF(ASV_Daten!C439="","",ASV_Daten!C439)</f>
        <v>Louis</v>
      </c>
      <c r="D444" s="34">
        <f>IF(ASV_Daten!D439="","",ASV_Daten!D439)</f>
        <v>2010</v>
      </c>
      <c r="E444" s="7" t="str">
        <f>IF(ASV_Daten!E439="","",ASV_Daten!E439)</f>
        <v>M</v>
      </c>
      <c r="F444" s="8" t="str">
        <f t="shared" si="1"/>
        <v>9</v>
      </c>
      <c r="G444" s="9">
        <f t="shared" si="2"/>
        <v>16</v>
      </c>
      <c r="H444" s="11"/>
      <c r="I444" s="11">
        <f t="shared" si="3"/>
        <v>0</v>
      </c>
      <c r="J444" s="12">
        <v>11.7</v>
      </c>
      <c r="K444" s="11">
        <f t="shared" si="11"/>
        <v>328</v>
      </c>
      <c r="L444" s="11"/>
      <c r="M444" s="11">
        <f t="shared" si="5"/>
        <v>0</v>
      </c>
      <c r="N444" s="12">
        <v>32.0</v>
      </c>
      <c r="O444" s="11">
        <f t="shared" si="6"/>
        <v>300</v>
      </c>
      <c r="P444" s="11" t="str">
        <f t="shared" si="7"/>
        <v>Punkte M 7-9</v>
      </c>
      <c r="Q444" s="11" t="str">
        <f t="shared" si="8"/>
        <v>Noten-Matrix-Jungen</v>
      </c>
      <c r="R444" s="13">
        <f t="shared" si="9"/>
        <v>628</v>
      </c>
      <c r="S444" s="11" t="str">
        <f>IF(R444=0, "Keine Teilnahme", IFERROR(IF(R444&gt;=VLOOKUP(G444&amp;LOWER(E444), Formeln!$H$2:$K$30, 4, FALSE), "Ehrenurkunde", IF(R444&gt;=VLOOKUP(G444&amp;LOWER(E444), Formeln!$H$2:$K$30, 3, FALSE), "Siegerurkunde", "Teilnehmerurkunde")), "Keine Urkunde"))</f>
        <v>Teilnehmerurkunde</v>
      </c>
      <c r="T444" s="14" t="str">
        <f t="shared" si="10"/>
        <v>NOTE</v>
      </c>
    </row>
    <row r="445" ht="19.5" hidden="1" customHeight="1">
      <c r="A445" s="15" t="str">
        <f>IF(ASV_Daten!A438="","",ASV_Daten!A438)</f>
        <v>R9D</v>
      </c>
      <c r="B445" s="15" t="str">
        <f>IF(ASV_Daten!B438="","",ASV_Daten!B438)</f>
        <v>Moor</v>
      </c>
      <c r="C445" s="15" t="str">
        <f>IF(ASV_Daten!C438="","",ASV_Daten!C438)</f>
        <v>Maxim</v>
      </c>
      <c r="D445" s="35">
        <f>IF(ASV_Daten!D438="","",ASV_Daten!D438)</f>
        <v>2010</v>
      </c>
      <c r="E445" s="15" t="str">
        <f>IF(ASV_Daten!E438="","",ASV_Daten!E438)</f>
        <v>M</v>
      </c>
      <c r="F445" s="16" t="str">
        <f t="shared" si="1"/>
        <v>9</v>
      </c>
      <c r="G445" s="17">
        <f t="shared" si="2"/>
        <v>16</v>
      </c>
      <c r="H445" s="19"/>
      <c r="I445" s="19">
        <f t="shared" si="3"/>
        <v>0</v>
      </c>
      <c r="J445" s="20">
        <v>11.4</v>
      </c>
      <c r="K445" s="19">
        <f t="shared" si="11"/>
        <v>352</v>
      </c>
      <c r="L445" s="19"/>
      <c r="M445" s="19">
        <f t="shared" si="5"/>
        <v>0</v>
      </c>
      <c r="N445" s="20">
        <v>36.5</v>
      </c>
      <c r="O445" s="19">
        <f t="shared" si="6"/>
        <v>331</v>
      </c>
      <c r="P445" s="19" t="str">
        <f t="shared" si="7"/>
        <v>Punkte M 7-9</v>
      </c>
      <c r="Q445" s="19" t="str">
        <f t="shared" si="8"/>
        <v>Noten-Matrix-Jungen</v>
      </c>
      <c r="R445" s="21">
        <f t="shared" si="9"/>
        <v>683</v>
      </c>
      <c r="S445" s="19" t="str">
        <f>IF(R445=0, "Keine Teilnahme", IFERROR(IF(R445&gt;=VLOOKUP(G445&amp;LOWER(E445), Formeln!$H$2:$K$30, 4, FALSE), "Ehrenurkunde", IF(R445&gt;=VLOOKUP(G445&amp;LOWER(E445), Formeln!$H$2:$K$30, 3, FALSE), "Siegerurkunde", "Teilnehmerurkunde")), "Keine Urkunde"))</f>
        <v>Teilnehmerurkunde</v>
      </c>
      <c r="T445" s="22" t="str">
        <f t="shared" si="10"/>
        <v>NOTE</v>
      </c>
    </row>
    <row r="446" ht="19.5" hidden="1" customHeight="1">
      <c r="A446" s="7" t="str">
        <f>IF(ASV_Daten!A442="","",ASV_Daten!A442)</f>
        <v>R9D</v>
      </c>
      <c r="B446" s="7" t="str">
        <f>IF(ASV_Daten!B442="","",ASV_Daten!B442)</f>
        <v>Rombach</v>
      </c>
      <c r="C446" s="7" t="str">
        <f>IF(ASV_Daten!C442="","",ASV_Daten!C442)</f>
        <v>Meike</v>
      </c>
      <c r="D446" s="34">
        <f>IF(ASV_Daten!D442="","",ASV_Daten!D442)</f>
        <v>2011</v>
      </c>
      <c r="E446" s="7" t="str">
        <f>IF(ASV_Daten!E442="","",ASV_Daten!E442)</f>
        <v>W</v>
      </c>
      <c r="F446" s="8" t="str">
        <f t="shared" si="1"/>
        <v>9</v>
      </c>
      <c r="G446" s="9">
        <f t="shared" si="2"/>
        <v>15</v>
      </c>
      <c r="H446" s="11"/>
      <c r="I446" s="11">
        <f t="shared" si="3"/>
        <v>0</v>
      </c>
      <c r="J446" s="12">
        <v>11.2</v>
      </c>
      <c r="K446" s="11">
        <f t="shared" si="11"/>
        <v>387</v>
      </c>
      <c r="L446" s="11"/>
      <c r="M446" s="11">
        <f t="shared" si="5"/>
        <v>0</v>
      </c>
      <c r="N446" s="12">
        <v>17.5</v>
      </c>
      <c r="O446" s="11">
        <f t="shared" si="6"/>
        <v>266</v>
      </c>
      <c r="P446" s="11" t="str">
        <f t="shared" si="7"/>
        <v>Punkte W 7-9</v>
      </c>
      <c r="Q446" s="11" t="str">
        <f t="shared" si="8"/>
        <v>Noten-Matrix-Mädchen</v>
      </c>
      <c r="R446" s="13">
        <f t="shared" si="9"/>
        <v>653</v>
      </c>
      <c r="S446" s="11" t="str">
        <f>IF(R446=0, "Keine Teilnahme", IFERROR(IF(R446&gt;=VLOOKUP(G446&amp;LOWER(E446), Formeln!$H$2:$K$30, 4, FALSE), "Ehrenurkunde", IF(R446&gt;=VLOOKUP(G446&amp;LOWER(E446), Formeln!$H$2:$K$30, 3, FALSE), "Siegerurkunde", "Teilnehmerurkunde")), "Keine Urkunde"))</f>
        <v>Teilnehmerurkunde</v>
      </c>
      <c r="T446" s="14" t="str">
        <f t="shared" si="10"/>
        <v>NOTE</v>
      </c>
    </row>
    <row r="447" ht="19.5" hidden="1" customHeight="1">
      <c r="A447" s="15" t="str">
        <f>IF(ASV_Daten!A450="","",ASV_Daten!A450)</f>
        <v>R9D</v>
      </c>
      <c r="B447" s="15" t="str">
        <f>IF(ASV_Daten!B450="","",ASV_Daten!B450)</f>
        <v>Zengler</v>
      </c>
      <c r="C447" s="15" t="str">
        <f>IF(ASV_Daten!C450="","",ASV_Daten!C450)</f>
        <v>Milan</v>
      </c>
      <c r="D447" s="35">
        <f>IF(ASV_Daten!D450="","",ASV_Daten!D450)</f>
        <v>2011</v>
      </c>
      <c r="E447" s="15" t="str">
        <f>IF(ASV_Daten!E450="","",ASV_Daten!E450)</f>
        <v>M</v>
      </c>
      <c r="F447" s="16" t="str">
        <f t="shared" si="1"/>
        <v>9</v>
      </c>
      <c r="G447" s="17">
        <f t="shared" si="2"/>
        <v>15</v>
      </c>
      <c r="H447" s="19"/>
      <c r="I447" s="19">
        <f t="shared" si="3"/>
        <v>0</v>
      </c>
      <c r="J447" s="19"/>
      <c r="K447" s="19">
        <f t="shared" si="11"/>
        <v>0</v>
      </c>
      <c r="L447" s="19"/>
      <c r="M447" s="19">
        <f t="shared" si="5"/>
        <v>0</v>
      </c>
      <c r="N447" s="20">
        <v>34.0</v>
      </c>
      <c r="O447" s="19">
        <f t="shared" si="6"/>
        <v>314</v>
      </c>
      <c r="P447" s="19" t="str">
        <f t="shared" si="7"/>
        <v>Punkte M 7-9</v>
      </c>
      <c r="Q447" s="19" t="str">
        <f t="shared" si="8"/>
        <v>Noten-Matrix-Jungen</v>
      </c>
      <c r="R447" s="21">
        <f t="shared" si="9"/>
        <v>314</v>
      </c>
      <c r="S447" s="19" t="str">
        <f>IF(R447=0, "Keine Teilnahme", IFERROR(IF(R447&gt;=VLOOKUP(G447&amp;LOWER(E447), Formeln!$H$2:$K$30, 4, FALSE), "Ehrenurkunde", IF(R447&gt;=VLOOKUP(G447&amp;LOWER(E447), Formeln!$H$2:$K$30, 3, FALSE), "Siegerurkunde", "Teilnehmerurkunde")), "Keine Urkunde"))</f>
        <v>Teilnehmerurkunde</v>
      </c>
      <c r="T447" s="22" t="str">
        <f t="shared" si="10"/>
        <v>NOTE</v>
      </c>
    </row>
    <row r="448" ht="19.5" hidden="1" customHeight="1">
      <c r="A448" s="7" t="str">
        <f>IF(ASV_Daten!A444="","",ASV_Daten!A444)</f>
        <v>R9D</v>
      </c>
      <c r="B448" s="7" t="str">
        <f>IF(ASV_Daten!B444="","",ASV_Daten!B444)</f>
        <v>Ruf</v>
      </c>
      <c r="C448" s="7" t="str">
        <f>IF(ASV_Daten!C444="","",ASV_Daten!C444)</f>
        <v>Nele</v>
      </c>
      <c r="D448" s="34">
        <f>IF(ASV_Daten!D444="","",ASV_Daten!D444)</f>
        <v>2011</v>
      </c>
      <c r="E448" s="7" t="str">
        <f>IF(ASV_Daten!E444="","",ASV_Daten!E444)</f>
        <v>W</v>
      </c>
      <c r="F448" s="8" t="str">
        <f t="shared" si="1"/>
        <v>9</v>
      </c>
      <c r="G448" s="9">
        <f t="shared" si="2"/>
        <v>15</v>
      </c>
      <c r="H448" s="11"/>
      <c r="I448" s="11">
        <f t="shared" si="3"/>
        <v>0</v>
      </c>
      <c r="J448" s="12">
        <v>13.9</v>
      </c>
      <c r="K448" s="11">
        <f t="shared" si="11"/>
        <v>197</v>
      </c>
      <c r="L448" s="11"/>
      <c r="M448" s="11">
        <f t="shared" si="5"/>
        <v>0</v>
      </c>
      <c r="N448" s="12">
        <v>13.0</v>
      </c>
      <c r="O448" s="11">
        <f t="shared" si="6"/>
        <v>210</v>
      </c>
      <c r="P448" s="11" t="str">
        <f t="shared" si="7"/>
        <v>Punkte W 7-9</v>
      </c>
      <c r="Q448" s="11" t="str">
        <f t="shared" si="8"/>
        <v>Noten-Matrix-Mädchen</v>
      </c>
      <c r="R448" s="13">
        <f t="shared" si="9"/>
        <v>407</v>
      </c>
      <c r="S448" s="11" t="str">
        <f>IF(R448=0, "Keine Teilnahme", IFERROR(IF(R448&gt;=VLOOKUP(G448&amp;LOWER(E448), Formeln!$H$2:$K$30, 4, FALSE), "Ehrenurkunde", IF(R448&gt;=VLOOKUP(G448&amp;LOWER(E448), Formeln!$H$2:$K$30, 3, FALSE), "Siegerurkunde", "Teilnehmerurkunde")), "Keine Urkunde"))</f>
        <v>Teilnehmerurkunde</v>
      </c>
      <c r="T448" s="14" t="str">
        <f t="shared" si="10"/>
        <v>NOTE</v>
      </c>
    </row>
    <row r="449" ht="19.5" hidden="1" customHeight="1">
      <c r="A449" s="15" t="str">
        <f>IF(ASV_Daten!A443="","",ASV_Daten!A443)</f>
        <v>R9D</v>
      </c>
      <c r="B449" s="15" t="str">
        <f>IF(ASV_Daten!B443="","",ASV_Daten!B443)</f>
        <v>Rudiger</v>
      </c>
      <c r="C449" s="15" t="str">
        <f>IF(ASV_Daten!C443="","",ASV_Daten!C443)</f>
        <v>Ole</v>
      </c>
      <c r="D449" s="35">
        <f>IF(ASV_Daten!D443="","",ASV_Daten!D443)</f>
        <v>2011</v>
      </c>
      <c r="E449" s="15" t="str">
        <f>IF(ASV_Daten!E443="","",ASV_Daten!E443)</f>
        <v>M</v>
      </c>
      <c r="F449" s="16" t="str">
        <f t="shared" si="1"/>
        <v>9</v>
      </c>
      <c r="G449" s="17">
        <f t="shared" si="2"/>
        <v>15</v>
      </c>
      <c r="H449" s="18">
        <v>0.14583333333333334</v>
      </c>
      <c r="I449" s="19">
        <f t="shared" si="3"/>
        <v>433</v>
      </c>
      <c r="J449" s="19"/>
      <c r="K449" s="19">
        <f t="shared" si="11"/>
        <v>0</v>
      </c>
      <c r="L449" s="19"/>
      <c r="M449" s="19">
        <f t="shared" si="5"/>
        <v>0</v>
      </c>
      <c r="N449" s="20">
        <v>35.0</v>
      </c>
      <c r="O449" s="19">
        <f t="shared" si="6"/>
        <v>320</v>
      </c>
      <c r="P449" s="19" t="str">
        <f t="shared" si="7"/>
        <v>Punkte M 7-9</v>
      </c>
      <c r="Q449" s="19" t="str">
        <f t="shared" si="8"/>
        <v>Noten-Matrix-Jungen</v>
      </c>
      <c r="R449" s="21">
        <f t="shared" si="9"/>
        <v>753</v>
      </c>
      <c r="S449" s="19" t="str">
        <f>IF(R449=0, "Keine Teilnahme", IFERROR(IF(R449&gt;=VLOOKUP(G449&amp;LOWER(E449), Formeln!$H$2:$K$30, 4, FALSE), "Ehrenurkunde", IF(R449&gt;=VLOOKUP(G449&amp;LOWER(E449), Formeln!$H$2:$K$30, 3, FALSE), "Siegerurkunde", "Teilnehmerurkunde")), "Keine Urkunde"))</f>
        <v>Teilnehmerurkunde</v>
      </c>
      <c r="T449" s="22" t="str">
        <f t="shared" si="10"/>
        <v>NOTE</v>
      </c>
    </row>
    <row r="450" ht="19.5" hidden="1" customHeight="1">
      <c r="A450" s="7" t="str">
        <f>IF(ASV_Daten!A441="","",ASV_Daten!A441)</f>
        <v>R9D</v>
      </c>
      <c r="B450" s="7" t="str">
        <f>IF(ASV_Daten!B441="","",ASV_Daten!B441)</f>
        <v>Nobs</v>
      </c>
      <c r="C450" s="7" t="str">
        <f>IF(ASV_Daten!C441="","",ASV_Daten!C441)</f>
        <v>Raphael</v>
      </c>
      <c r="D450" s="34">
        <f>IF(ASV_Daten!D441="","",ASV_Daten!D441)</f>
        <v>2011</v>
      </c>
      <c r="E450" s="7" t="str">
        <f>IF(ASV_Daten!E433="","",ASV_Daten!E433)</f>
        <v>W</v>
      </c>
      <c r="F450" s="8" t="str">
        <f t="shared" si="1"/>
        <v>9</v>
      </c>
      <c r="G450" s="9">
        <f t="shared" si="2"/>
        <v>15</v>
      </c>
      <c r="H450" s="11"/>
      <c r="I450" s="11">
        <f t="shared" si="3"/>
        <v>0</v>
      </c>
      <c r="J450" s="12">
        <v>11.8</v>
      </c>
      <c r="K450" s="11">
        <f t="shared" si="11"/>
        <v>338</v>
      </c>
      <c r="L450" s="11"/>
      <c r="M450" s="11">
        <f t="shared" si="5"/>
        <v>0</v>
      </c>
      <c r="N450" s="12">
        <v>36.5</v>
      </c>
      <c r="O450" s="11">
        <f t="shared" si="6"/>
        <v>445</v>
      </c>
      <c r="P450" s="11" t="str">
        <f t="shared" si="7"/>
        <v>Punkte W 7-9</v>
      </c>
      <c r="Q450" s="11" t="str">
        <f t="shared" si="8"/>
        <v>Noten-Matrix-Mädchen</v>
      </c>
      <c r="R450" s="13">
        <f t="shared" si="9"/>
        <v>783</v>
      </c>
      <c r="S450" s="11" t="str">
        <f>IF(R450=0, "Keine Teilnahme", IFERROR(IF(R450&gt;=VLOOKUP(G450&amp;LOWER(E450), Formeln!$H$2:$K$30, 4, FALSE), "Ehrenurkunde", IF(R450&gt;=VLOOKUP(G450&amp;LOWER(E450), Formeln!$H$2:$K$30, 3, FALSE), "Siegerurkunde", "Teilnehmerurkunde")), "Keine Urkunde"))</f>
        <v>Teilnehmerurkunde</v>
      </c>
      <c r="T450" s="14">
        <f t="shared" si="10"/>
        <v>3.4</v>
      </c>
    </row>
    <row r="451" ht="19.5" hidden="1" customHeight="1">
      <c r="A451" s="15" t="str">
        <f>IF(ASV_Daten!A427="","",ASV_Daten!A427)</f>
        <v>R9D</v>
      </c>
      <c r="B451" s="15" t="str">
        <f>IF(ASV_Daten!B427="","",ASV_Daten!B427)</f>
        <v>Becker</v>
      </c>
      <c r="C451" s="15" t="str">
        <f>IF(ASV_Daten!C427="","",ASV_Daten!C427)</f>
        <v>Sophia</v>
      </c>
      <c r="D451" s="35">
        <f>IF(ASV_Daten!D427="","",ASV_Daten!D427)</f>
        <v>2011</v>
      </c>
      <c r="E451" s="15" t="str">
        <f>IF(ASV_Daten!E427="","",ASV_Daten!E427)</f>
        <v>W</v>
      </c>
      <c r="F451" s="16" t="str">
        <f t="shared" si="1"/>
        <v>9</v>
      </c>
      <c r="G451" s="17">
        <f t="shared" si="2"/>
        <v>15</v>
      </c>
      <c r="H451" s="19"/>
      <c r="I451" s="19">
        <f t="shared" si="3"/>
        <v>0</v>
      </c>
      <c r="J451" s="19"/>
      <c r="K451" s="19">
        <f t="shared" si="11"/>
        <v>0</v>
      </c>
      <c r="L451" s="19"/>
      <c r="M451" s="19">
        <f t="shared" si="5"/>
        <v>0</v>
      </c>
      <c r="N451" s="19"/>
      <c r="O451" s="19">
        <f t="shared" si="6"/>
        <v>0</v>
      </c>
      <c r="P451" s="19" t="str">
        <f t="shared" si="7"/>
        <v>Punkte W 7-9</v>
      </c>
      <c r="Q451" s="19" t="str">
        <f t="shared" si="8"/>
        <v>Noten-Matrix-Mädchen</v>
      </c>
      <c r="R451" s="21">
        <f t="shared" si="9"/>
        <v>0</v>
      </c>
      <c r="S451" s="19" t="str">
        <f>IF(R451=0, "Keine Teilnahme", IFERROR(IF(R451&gt;=VLOOKUP(G451&amp;LOWER(E451), Formeln!$H$2:$K$30, 4, FALSE), "Ehrenurkunde", IF(R451&gt;=VLOOKUP(G451&amp;LOWER(E451), Formeln!$H$2:$K$30, 3, FALSE), "Siegerurkunde", "Teilnehmerurkunde")), "Keine Urkunde"))</f>
        <v>Keine Teilnahme</v>
      </c>
      <c r="T451" s="22" t="str">
        <f t="shared" si="10"/>
        <v>Keine Teilnahme</v>
      </c>
    </row>
    <row r="452" ht="19.5" hidden="1" customHeight="1">
      <c r="A452" s="7" t="str">
        <f>IF(ASV_Daten!A434="","",ASV_Daten!A434)</f>
        <v>R9D</v>
      </c>
      <c r="B452" s="7" t="str">
        <f>IF(ASV_Daten!B434="","",ASV_Daten!B434)</f>
        <v>Höfler</v>
      </c>
      <c r="C452" s="7" t="str">
        <f>IF(ASV_Daten!C434="","",ASV_Daten!C434)</f>
        <v>Tabea</v>
      </c>
      <c r="D452" s="34">
        <f>IF(ASV_Daten!D434="","",ASV_Daten!D434)</f>
        <v>2011</v>
      </c>
      <c r="E452" s="7" t="str">
        <f>IF(ASV_Daten!E434="","",ASV_Daten!E434)</f>
        <v>W</v>
      </c>
      <c r="F452" s="8" t="str">
        <f t="shared" si="1"/>
        <v>9</v>
      </c>
      <c r="G452" s="9">
        <f t="shared" si="2"/>
        <v>15</v>
      </c>
      <c r="H452" s="11"/>
      <c r="I452" s="11">
        <f t="shared" si="3"/>
        <v>0</v>
      </c>
      <c r="J452" s="11"/>
      <c r="K452" s="11">
        <f t="shared" si="11"/>
        <v>0</v>
      </c>
      <c r="L452" s="11"/>
      <c r="M452" s="11">
        <f t="shared" si="5"/>
        <v>0</v>
      </c>
      <c r="N452" s="11"/>
      <c r="O452" s="11">
        <f t="shared" si="6"/>
        <v>0</v>
      </c>
      <c r="P452" s="11" t="str">
        <f t="shared" si="7"/>
        <v>Punkte W 7-9</v>
      </c>
      <c r="Q452" s="11" t="str">
        <f t="shared" si="8"/>
        <v>Noten-Matrix-Mädchen</v>
      </c>
      <c r="R452" s="13">
        <f t="shared" si="9"/>
        <v>0</v>
      </c>
      <c r="S452" s="11" t="str">
        <f>IF(R452=0, "Keine Teilnahme", IFERROR(IF(R452&gt;=VLOOKUP(G452&amp;LOWER(E452), Formeln!$H$2:$K$30, 4, FALSE), "Ehrenurkunde", IF(R452&gt;=VLOOKUP(G452&amp;LOWER(E452), Formeln!$H$2:$K$30, 3, FALSE), "Siegerurkunde", "Teilnehmerurkunde")), "Keine Urkunde"))</f>
        <v>Keine Teilnahme</v>
      </c>
      <c r="T452" s="14" t="str">
        <f t="shared" si="10"/>
        <v>Keine Teilnahme</v>
      </c>
    </row>
    <row r="453" ht="19.5" hidden="1" customHeight="1">
      <c r="A453" s="15" t="str">
        <f>IF(ASV_Daten!A440="","",ASV_Daten!A440)</f>
        <v>R9D</v>
      </c>
      <c r="B453" s="15" t="str">
        <f>IF(ASV_Daten!B440="","",ASV_Daten!B440)</f>
        <v>Nitzsche</v>
      </c>
      <c r="C453" s="15" t="str">
        <f>IF(ASV_Daten!C440="","",ASV_Daten!C440)</f>
        <v>Veit</v>
      </c>
      <c r="D453" s="35">
        <f>IF(ASV_Daten!D440="","",ASV_Daten!D440)</f>
        <v>2011</v>
      </c>
      <c r="E453" s="15" t="str">
        <f>IF(ASV_Daten!E440="","",ASV_Daten!E440)</f>
        <v>M</v>
      </c>
      <c r="F453" s="16" t="str">
        <f t="shared" si="1"/>
        <v>9</v>
      </c>
      <c r="G453" s="17">
        <f t="shared" si="2"/>
        <v>15</v>
      </c>
      <c r="H453" s="19"/>
      <c r="I453" s="19">
        <f t="shared" si="3"/>
        <v>0</v>
      </c>
      <c r="J453" s="19"/>
      <c r="K453" s="19">
        <f t="shared" si="11"/>
        <v>0</v>
      </c>
      <c r="L453" s="19"/>
      <c r="M453" s="19">
        <f t="shared" si="5"/>
        <v>0</v>
      </c>
      <c r="N453" s="19"/>
      <c r="O453" s="19">
        <f t="shared" si="6"/>
        <v>0</v>
      </c>
      <c r="P453" s="19" t="str">
        <f t="shared" si="7"/>
        <v>Punkte M 7-9</v>
      </c>
      <c r="Q453" s="19" t="str">
        <f t="shared" si="8"/>
        <v>Noten-Matrix-Jungen</v>
      </c>
      <c r="R453" s="21">
        <f t="shared" si="9"/>
        <v>0</v>
      </c>
      <c r="S453" s="19" t="str">
        <f>IF(R453=0, "Keine Teilnahme", IFERROR(IF(R453&gt;=VLOOKUP(G453&amp;LOWER(E453), Formeln!$H$2:$K$30, 4, FALSE), "Ehrenurkunde", IF(R453&gt;=VLOOKUP(G453&amp;LOWER(E453), Formeln!$H$2:$K$30, 3, FALSE), "Siegerurkunde", "Teilnehmerurkunde")), "Keine Urkunde"))</f>
        <v>Keine Teilnahme</v>
      </c>
      <c r="T453" s="22" t="str">
        <f t="shared" si="10"/>
        <v>Keine Teilnahme</v>
      </c>
    </row>
    <row r="454" ht="19.5" hidden="1" customHeight="1">
      <c r="A454" s="7" t="str">
        <f>IF(ASV_Daten!A452="","",ASV_Daten!A452)</f>
        <v/>
      </c>
      <c r="B454" s="7" t="str">
        <f>IF(ASV_Daten!B452="","",ASV_Daten!B452)</f>
        <v/>
      </c>
      <c r="C454" s="7" t="str">
        <f>IF(ASV_Daten!C452="","",ASV_Daten!C452)</f>
        <v/>
      </c>
      <c r="D454" s="34" t="str">
        <f>IF(ASV_Daten!D452="","",ASV_Daten!D452)</f>
        <v/>
      </c>
      <c r="E454" s="7" t="str">
        <f>IF(ASV_Daten!E452="","",ASV_Daten!E452)</f>
        <v/>
      </c>
      <c r="F454" s="8" t="str">
        <f t="shared" si="1"/>
        <v/>
      </c>
      <c r="G454" s="9">
        <f t="shared" si="2"/>
        <v>2026</v>
      </c>
      <c r="H454" s="11"/>
      <c r="I454" s="11">
        <f t="shared" si="3"/>
        <v>0</v>
      </c>
      <c r="J454" s="11"/>
      <c r="K454" s="11">
        <f t="shared" si="11"/>
        <v>0</v>
      </c>
      <c r="L454" s="11"/>
      <c r="M454" s="11">
        <f t="shared" si="5"/>
        <v>0</v>
      </c>
      <c r="N454" s="11"/>
      <c r="O454" s="11">
        <f t="shared" si="6"/>
        <v>0</v>
      </c>
      <c r="P454" s="11" t="str">
        <f t="shared" si="7"/>
        <v>Punkte M 7-9</v>
      </c>
      <c r="Q454" s="11" t="str">
        <f t="shared" si="8"/>
        <v>Noten-Matrix-Jungen</v>
      </c>
      <c r="R454" s="13">
        <f t="shared" si="9"/>
        <v>0</v>
      </c>
      <c r="S454" s="11" t="str">
        <f>IF(R454=0, "Keine Teilnahme", IFERROR(IF(R454&gt;=VLOOKUP(G454&amp;LOWER(E454), Formeln!$H$2:$K$11, 4, FALSE), "Ehrenurkunde", IF(R454&gt;=VLOOKUP(G454&amp;LOWER(E454), Formeln!$H$2:$K$11, 3, FALSE), "Siegerurkunde", "Teilnehmerurkunde")), "Keine Urkunde"))</f>
        <v>Keine Teilnahme</v>
      </c>
      <c r="T454" s="14" t="str">
        <f t="shared" si="10"/>
        <v>Keine Teilnahme</v>
      </c>
    </row>
    <row r="455" ht="19.5" hidden="1" customHeight="1">
      <c r="A455" s="15" t="str">
        <f>IF(ASV_Daten!A454="","",ASV_Daten!A454)</f>
        <v/>
      </c>
      <c r="B455" s="15" t="str">
        <f>IF(ASV_Daten!B454="","",ASV_Daten!B454)</f>
        <v/>
      </c>
      <c r="C455" s="15" t="str">
        <f>IF(ASV_Daten!C454="","",ASV_Daten!C454)</f>
        <v/>
      </c>
      <c r="D455" s="35" t="str">
        <f>IF(ASV_Daten!D454="","",ASV_Daten!D454)</f>
        <v/>
      </c>
      <c r="E455" s="15" t="str">
        <f>IF(ASV_Daten!E454="","",ASV_Daten!E454)</f>
        <v/>
      </c>
      <c r="F455" s="16" t="str">
        <f t="shared" si="1"/>
        <v/>
      </c>
      <c r="G455" s="17">
        <f t="shared" si="2"/>
        <v>2026</v>
      </c>
      <c r="H455" s="19"/>
      <c r="I455" s="19">
        <f t="shared" si="3"/>
        <v>0</v>
      </c>
      <c r="J455" s="19"/>
      <c r="K455" s="19">
        <f t="shared" si="11"/>
        <v>0</v>
      </c>
      <c r="L455" s="19"/>
      <c r="M455" s="19">
        <f t="shared" si="5"/>
        <v>0</v>
      </c>
      <c r="N455" s="19"/>
      <c r="O455" s="19">
        <f t="shared" si="6"/>
        <v>0</v>
      </c>
      <c r="P455" s="19" t="str">
        <f t="shared" si="7"/>
        <v>Punkte M 7-9</v>
      </c>
      <c r="Q455" s="19" t="str">
        <f t="shared" si="8"/>
        <v>Noten-Matrix-Jungen</v>
      </c>
      <c r="R455" s="21">
        <f t="shared" si="9"/>
        <v>0</v>
      </c>
      <c r="S455" s="19" t="str">
        <f>IF(R455=0, "Keine Teilnahme", IFERROR(IF(R455&gt;=VLOOKUP(G455&amp;LOWER(E455), Formeln!$H$2:$K$11, 4, FALSE), "Ehrenurkunde", IF(R455&gt;=VLOOKUP(G455&amp;LOWER(E455), Formeln!$H$2:$K$11, 3, FALSE), "Siegerurkunde", "Teilnehmerurkunde")), "Keine Urkunde"))</f>
        <v>Keine Teilnahme</v>
      </c>
      <c r="T455" s="22" t="str">
        <f t="shared" si="10"/>
        <v>Keine Teilnahme</v>
      </c>
    </row>
    <row r="456" ht="19.5" hidden="1" customHeight="1">
      <c r="A456" s="7" t="str">
        <f>IF(ASV_Daten!A455="","",ASV_Daten!A455)</f>
        <v/>
      </c>
      <c r="B456" s="7" t="str">
        <f>IF(ASV_Daten!B455="","",ASV_Daten!B455)</f>
        <v/>
      </c>
      <c r="C456" s="7" t="str">
        <f>IF(ASV_Daten!C455="","",ASV_Daten!C455)</f>
        <v/>
      </c>
      <c r="D456" s="7" t="str">
        <f>IF(ASV_Daten!D455="","",ASV_Daten!D455)</f>
        <v/>
      </c>
      <c r="E456" s="7" t="str">
        <f>IF(ASV_Daten!E455="","",ASV_Daten!E455)</f>
        <v/>
      </c>
      <c r="F456" s="8" t="str">
        <f t="shared" si="1"/>
        <v/>
      </c>
      <c r="G456" s="9">
        <f t="shared" si="2"/>
        <v>2026</v>
      </c>
      <c r="H456" s="11"/>
      <c r="I456" s="11">
        <f t="shared" si="3"/>
        <v>0</v>
      </c>
      <c r="J456" s="11"/>
      <c r="K456" s="11">
        <f t="shared" si="11"/>
        <v>0</v>
      </c>
      <c r="L456" s="11"/>
      <c r="M456" s="11">
        <f t="shared" si="5"/>
        <v>0</v>
      </c>
      <c r="N456" s="11"/>
      <c r="O456" s="11">
        <f t="shared" si="6"/>
        <v>0</v>
      </c>
      <c r="P456" s="11" t="str">
        <f t="shared" si="7"/>
        <v>Punkte M 7-9</v>
      </c>
      <c r="Q456" s="11" t="str">
        <f t="shared" si="8"/>
        <v>Noten-Matrix-Jungen</v>
      </c>
      <c r="R456" s="13">
        <f t="shared" si="9"/>
        <v>0</v>
      </c>
      <c r="S456" s="11" t="str">
        <f>IF(R456=0, "Keine Teilnahme", IFERROR(IF(R456&gt;=VLOOKUP(G456&amp;LOWER(E456), Formeln!$H$2:$K$11, 4, FALSE), "Ehrenurkunde", IF(R456&gt;=VLOOKUP(G456&amp;LOWER(E456), Formeln!$H$2:$K$11, 3, FALSE), "Siegerurkunde", "Teilnehmerurkunde")), "Keine Urkunde"))</f>
        <v>Keine Teilnahme</v>
      </c>
      <c r="T456" s="14" t="str">
        <f t="shared" si="10"/>
        <v>Keine Teilnahme</v>
      </c>
    </row>
    <row r="457" ht="19.5" hidden="1" customHeight="1">
      <c r="A457" s="15" t="str">
        <f>IF(ASV_Daten!A457="","",ASV_Daten!A457)</f>
        <v/>
      </c>
      <c r="B457" s="15" t="str">
        <f>IF(ASV_Daten!B457="","",ASV_Daten!B457)</f>
        <v/>
      </c>
      <c r="C457" s="15" t="str">
        <f>IF(ASV_Daten!C457="","",ASV_Daten!C457)</f>
        <v/>
      </c>
      <c r="D457" s="15" t="str">
        <f>IF(ASV_Daten!D457="","",ASV_Daten!D457)</f>
        <v/>
      </c>
      <c r="E457" s="15" t="str">
        <f>IF(ASV_Daten!E457="","",ASV_Daten!E457)</f>
        <v/>
      </c>
      <c r="F457" s="16" t="str">
        <f t="shared" si="1"/>
        <v/>
      </c>
      <c r="G457" s="17">
        <f t="shared" si="2"/>
        <v>2026</v>
      </c>
      <c r="H457" s="19"/>
      <c r="I457" s="19">
        <f t="shared" si="3"/>
        <v>0</v>
      </c>
      <c r="J457" s="19"/>
      <c r="K457" s="19">
        <f t="shared" si="11"/>
        <v>0</v>
      </c>
      <c r="L457" s="19"/>
      <c r="M457" s="19">
        <f t="shared" si="5"/>
        <v>0</v>
      </c>
      <c r="N457" s="19"/>
      <c r="O457" s="19">
        <f t="shared" si="6"/>
        <v>0</v>
      </c>
      <c r="P457" s="19" t="str">
        <f t="shared" si="7"/>
        <v>Punkte M 7-9</v>
      </c>
      <c r="Q457" s="19" t="str">
        <f t="shared" si="8"/>
        <v>Noten-Matrix-Jungen</v>
      </c>
      <c r="R457" s="21">
        <f t="shared" si="9"/>
        <v>0</v>
      </c>
      <c r="S457" s="19" t="str">
        <f>IF(R457=0, "Keine Teilnahme", IFERROR(IF(R457&gt;=VLOOKUP(G457&amp;LOWER(E457), Formeln!$H$2:$K$11, 4, FALSE), "Ehrenurkunde", IF(R457&gt;=VLOOKUP(G457&amp;LOWER(E457), Formeln!$H$2:$K$11, 3, FALSE), "Siegerurkunde", "Teilnehmerurkunde")), "Keine Urkunde"))</f>
        <v>Keine Teilnahme</v>
      </c>
      <c r="T457" s="22" t="str">
        <f t="shared" si="10"/>
        <v>Keine Teilnahme</v>
      </c>
    </row>
    <row r="458" ht="19.5" hidden="1" customHeight="1">
      <c r="A458" s="7" t="str">
        <f>IF(ASV_Daten!A456="","",ASV_Daten!A456)</f>
        <v/>
      </c>
      <c r="B458" s="7" t="str">
        <f>IF(ASV_Daten!B456="","",ASV_Daten!B456)</f>
        <v/>
      </c>
      <c r="C458" s="7" t="str">
        <f>IF(ASV_Daten!C456="","",ASV_Daten!C456)</f>
        <v/>
      </c>
      <c r="D458" s="34" t="str">
        <f>IF(ASV_Daten!D456="","",ASV_Daten!D456)</f>
        <v/>
      </c>
      <c r="E458" s="7" t="str">
        <f>IF(ASV_Daten!E456="","",ASV_Daten!E456)</f>
        <v/>
      </c>
      <c r="F458" s="8" t="str">
        <f t="shared" si="1"/>
        <v/>
      </c>
      <c r="G458" s="9">
        <f t="shared" si="2"/>
        <v>2026</v>
      </c>
      <c r="H458" s="11"/>
      <c r="I458" s="11">
        <f t="shared" si="3"/>
        <v>0</v>
      </c>
      <c r="J458" s="11"/>
      <c r="K458" s="11">
        <f t="shared" si="11"/>
        <v>0</v>
      </c>
      <c r="L458" s="11"/>
      <c r="M458" s="11">
        <f t="shared" si="5"/>
        <v>0</v>
      </c>
      <c r="N458" s="11"/>
      <c r="O458" s="11">
        <f t="shared" si="6"/>
        <v>0</v>
      </c>
      <c r="P458" s="11" t="str">
        <f t="shared" si="7"/>
        <v>Punkte M 7-9</v>
      </c>
      <c r="Q458" s="11" t="str">
        <f t="shared" si="8"/>
        <v>Noten-Matrix-Jungen</v>
      </c>
      <c r="R458" s="13">
        <f t="shared" si="9"/>
        <v>0</v>
      </c>
      <c r="S458" s="11" t="str">
        <f>IF(R458=0, "Keine Teilnahme", IFERROR(IF(R458&gt;=VLOOKUP(G458&amp;LOWER(E458), Formeln!$H$2:$K$11, 4, FALSE), "Ehrenurkunde", IF(R458&gt;=VLOOKUP(G458&amp;LOWER(E458), Formeln!$H$2:$K$11, 3, FALSE), "Siegerurkunde", "Teilnehmerurkunde")), "Keine Urkunde"))</f>
        <v>Keine Teilnahme</v>
      </c>
      <c r="T458" s="14" t="str">
        <f t="shared" si="10"/>
        <v>Keine Teilnahme</v>
      </c>
    </row>
    <row r="459" ht="19.5" hidden="1" customHeight="1">
      <c r="A459" s="15" t="str">
        <f>IF(ASV_Daten!A458="","",ASV_Daten!A458)</f>
        <v/>
      </c>
      <c r="B459" s="15" t="str">
        <f>IF(ASV_Daten!B458="","",ASV_Daten!B458)</f>
        <v/>
      </c>
      <c r="C459" s="15" t="str">
        <f>IF(ASV_Daten!C458="","",ASV_Daten!C458)</f>
        <v/>
      </c>
      <c r="D459" s="35" t="str">
        <f>IF(ASV_Daten!D458="","",ASV_Daten!D458)</f>
        <v/>
      </c>
      <c r="E459" s="15" t="str">
        <f>IF(ASV_Daten!E458="","",ASV_Daten!E458)</f>
        <v/>
      </c>
      <c r="F459" s="16" t="str">
        <f t="shared" si="1"/>
        <v/>
      </c>
      <c r="G459" s="17">
        <f t="shared" si="2"/>
        <v>2026</v>
      </c>
      <c r="H459" s="19"/>
      <c r="I459" s="19">
        <f t="shared" si="3"/>
        <v>0</v>
      </c>
      <c r="J459" s="19"/>
      <c r="K459" s="19">
        <f t="shared" si="11"/>
        <v>0</v>
      </c>
      <c r="L459" s="19"/>
      <c r="M459" s="19">
        <f t="shared" si="5"/>
        <v>0</v>
      </c>
      <c r="N459" s="19"/>
      <c r="O459" s="19">
        <f t="shared" si="6"/>
        <v>0</v>
      </c>
      <c r="P459" s="19" t="str">
        <f t="shared" si="7"/>
        <v>Punkte M 7-9</v>
      </c>
      <c r="Q459" s="19" t="str">
        <f t="shared" si="8"/>
        <v>Noten-Matrix-Jungen</v>
      </c>
      <c r="R459" s="21">
        <f t="shared" si="9"/>
        <v>0</v>
      </c>
      <c r="S459" s="19" t="str">
        <f>IF(R459=0, "Keine Teilnahme", IFERROR(IF(R459&gt;=VLOOKUP(G459&amp;LOWER(E459), Formeln!$H$2:$K$11, 4, FALSE), "Ehrenurkunde", IF(R459&gt;=VLOOKUP(G459&amp;LOWER(E459), Formeln!$H$2:$K$11, 3, FALSE), "Siegerurkunde", "Teilnehmerurkunde")), "Keine Urkunde"))</f>
        <v>Keine Teilnahme</v>
      </c>
      <c r="T459" s="22" t="str">
        <f t="shared" si="10"/>
        <v>Keine Teilnahme</v>
      </c>
    </row>
    <row r="460" ht="19.5" hidden="1" customHeight="1">
      <c r="A460" s="7" t="str">
        <f>IF(ASV_Daten!A459="","",ASV_Daten!A459)</f>
        <v/>
      </c>
      <c r="B460" s="7" t="str">
        <f>IF(ASV_Daten!B459="","",ASV_Daten!B459)</f>
        <v/>
      </c>
      <c r="C460" s="7" t="str">
        <f>IF(ASV_Daten!C459="","",ASV_Daten!C459)</f>
        <v/>
      </c>
      <c r="D460" s="7" t="str">
        <f>IF(ASV_Daten!D459="","",ASV_Daten!D459)</f>
        <v/>
      </c>
      <c r="E460" s="7" t="str">
        <f>IF(ASV_Daten!E459="","",ASV_Daten!E459)</f>
        <v/>
      </c>
      <c r="F460" s="8" t="str">
        <f t="shared" si="1"/>
        <v/>
      </c>
      <c r="G460" s="9">
        <f t="shared" si="2"/>
        <v>2026</v>
      </c>
      <c r="H460" s="11"/>
      <c r="I460" s="11">
        <f t="shared" si="3"/>
        <v>0</v>
      </c>
      <c r="J460" s="11"/>
      <c r="K460" s="11">
        <f t="shared" si="11"/>
        <v>0</v>
      </c>
      <c r="L460" s="11"/>
      <c r="M460" s="11">
        <f t="shared" si="5"/>
        <v>0</v>
      </c>
      <c r="N460" s="11"/>
      <c r="O460" s="11">
        <f t="shared" si="6"/>
        <v>0</v>
      </c>
      <c r="P460" s="11" t="str">
        <f t="shared" si="7"/>
        <v>Punkte M 7-9</v>
      </c>
      <c r="Q460" s="11" t="str">
        <f t="shared" si="8"/>
        <v>Noten-Matrix-Jungen</v>
      </c>
      <c r="R460" s="13">
        <f t="shared" si="9"/>
        <v>0</v>
      </c>
      <c r="S460" s="11" t="str">
        <f>IF(R460=0, "Keine Teilnahme", IFERROR(IF(R460&gt;=VLOOKUP(G460&amp;LOWER(E460), Formeln!$H$2:$K$11, 4, FALSE), "Ehrenurkunde", IF(R460&gt;=VLOOKUP(G460&amp;LOWER(E460), Formeln!$H$2:$K$11, 3, FALSE), "Siegerurkunde", "Teilnehmerurkunde")), "Keine Urkunde"))</f>
        <v>Keine Teilnahme</v>
      </c>
      <c r="T460" s="14" t="str">
        <f t="shared" si="10"/>
        <v>Keine Teilnahme</v>
      </c>
    </row>
    <row r="461" ht="19.5" hidden="1" customHeight="1">
      <c r="A461" s="15" t="str">
        <f>IF(ASV_Daten!A461="","",ASV_Daten!A461)</f>
        <v/>
      </c>
      <c r="B461" s="15" t="str">
        <f>IF(ASV_Daten!B461="","",ASV_Daten!B461)</f>
        <v/>
      </c>
      <c r="C461" s="15" t="str">
        <f>IF(ASV_Daten!C461="","",ASV_Daten!C461)</f>
        <v/>
      </c>
      <c r="D461" s="15" t="str">
        <f>IF(ASV_Daten!D461="","",ASV_Daten!D461)</f>
        <v/>
      </c>
      <c r="E461" s="15" t="str">
        <f>IF(ASV_Daten!E461="","",ASV_Daten!E461)</f>
        <v/>
      </c>
      <c r="F461" s="16" t="str">
        <f t="shared" si="1"/>
        <v/>
      </c>
      <c r="G461" s="17">
        <f t="shared" si="2"/>
        <v>2026</v>
      </c>
      <c r="H461" s="19"/>
      <c r="I461" s="19">
        <f t="shared" si="3"/>
        <v>0</v>
      </c>
      <c r="J461" s="19"/>
      <c r="K461" s="19">
        <f t="shared" si="11"/>
        <v>0</v>
      </c>
      <c r="L461" s="19"/>
      <c r="M461" s="19">
        <f t="shared" si="5"/>
        <v>0</v>
      </c>
      <c r="N461" s="19"/>
      <c r="O461" s="19">
        <f t="shared" si="6"/>
        <v>0</v>
      </c>
      <c r="P461" s="19" t="str">
        <f t="shared" si="7"/>
        <v>Punkte M 7-9</v>
      </c>
      <c r="Q461" s="19" t="str">
        <f t="shared" si="8"/>
        <v>Noten-Matrix-Jungen</v>
      </c>
      <c r="R461" s="21">
        <f t="shared" si="9"/>
        <v>0</v>
      </c>
      <c r="S461" s="19" t="str">
        <f>IF(R461=0, "Keine Teilnahme", IFERROR(IF(R461&gt;=VLOOKUP(G461&amp;LOWER(E461), Formeln!$H$2:$K$11, 4, FALSE), "Ehrenurkunde", IF(R461&gt;=VLOOKUP(G461&amp;LOWER(E461), Formeln!$H$2:$K$11, 3, FALSE), "Siegerurkunde", "Teilnehmerurkunde")), "Keine Urkunde"))</f>
        <v>Keine Teilnahme</v>
      </c>
      <c r="T461" s="22" t="str">
        <f t="shared" si="10"/>
        <v>Keine Teilnahme</v>
      </c>
    </row>
    <row r="462" ht="19.5" hidden="1" customHeight="1">
      <c r="A462" s="7" t="str">
        <f>IF(ASV_Daten!A460="","",ASV_Daten!A460)</f>
        <v/>
      </c>
      <c r="B462" s="7" t="str">
        <f>IF(ASV_Daten!B460="","",ASV_Daten!B460)</f>
        <v/>
      </c>
      <c r="C462" s="7" t="str">
        <f>IF(ASV_Daten!C460="","",ASV_Daten!C460)</f>
        <v/>
      </c>
      <c r="D462" s="34" t="str">
        <f>IF(ASV_Daten!D460="","",ASV_Daten!D460)</f>
        <v/>
      </c>
      <c r="E462" s="7" t="str">
        <f>IF(ASV_Daten!E460="","",ASV_Daten!E460)</f>
        <v/>
      </c>
      <c r="F462" s="8" t="str">
        <f t="shared" si="1"/>
        <v/>
      </c>
      <c r="G462" s="9">
        <f t="shared" si="2"/>
        <v>2026</v>
      </c>
      <c r="H462" s="11"/>
      <c r="I462" s="11">
        <f t="shared" si="3"/>
        <v>0</v>
      </c>
      <c r="J462" s="11"/>
      <c r="K462" s="11">
        <f t="shared" si="11"/>
        <v>0</v>
      </c>
      <c r="L462" s="11"/>
      <c r="M462" s="11">
        <f t="shared" si="5"/>
        <v>0</v>
      </c>
      <c r="N462" s="11"/>
      <c r="O462" s="11">
        <f t="shared" si="6"/>
        <v>0</v>
      </c>
      <c r="P462" s="11" t="str">
        <f t="shared" si="7"/>
        <v>Punkte M 7-9</v>
      </c>
      <c r="Q462" s="11" t="str">
        <f t="shared" si="8"/>
        <v>Noten-Matrix-Jungen</v>
      </c>
      <c r="R462" s="13">
        <f t="shared" si="9"/>
        <v>0</v>
      </c>
      <c r="S462" s="11" t="str">
        <f>IF(R462=0, "Keine Teilnahme", IFERROR(IF(R462&gt;=VLOOKUP(G462&amp;LOWER(E462), Formeln!$H$2:$K$11, 4, FALSE), "Ehrenurkunde", IF(R462&gt;=VLOOKUP(G462&amp;LOWER(E462), Formeln!$H$2:$K$11, 3, FALSE), "Siegerurkunde", "Teilnehmerurkunde")), "Keine Urkunde"))</f>
        <v>Keine Teilnahme</v>
      </c>
      <c r="T462" s="14" t="str">
        <f t="shared" si="10"/>
        <v>Keine Teilnahme</v>
      </c>
    </row>
    <row r="463" ht="19.5" hidden="1" customHeight="1">
      <c r="A463" s="15" t="str">
        <f>IF(ASV_Daten!A463="","",ASV_Daten!A463)</f>
        <v/>
      </c>
      <c r="B463" s="15" t="str">
        <f>IF(ASV_Daten!B463="","",ASV_Daten!B463)</f>
        <v/>
      </c>
      <c r="C463" s="15" t="str">
        <f>IF(ASV_Daten!C463="","",ASV_Daten!C463)</f>
        <v/>
      </c>
      <c r="D463" s="15" t="str">
        <f>IF(ASV_Daten!D463="","",ASV_Daten!D463)</f>
        <v/>
      </c>
      <c r="E463" s="15" t="str">
        <f>IF(ASV_Daten!E463="","",ASV_Daten!E463)</f>
        <v/>
      </c>
      <c r="F463" s="16" t="str">
        <f t="shared" si="1"/>
        <v/>
      </c>
      <c r="G463" s="17">
        <f t="shared" si="2"/>
        <v>2026</v>
      </c>
      <c r="H463" s="19"/>
      <c r="I463" s="19">
        <f t="shared" si="3"/>
        <v>0</v>
      </c>
      <c r="J463" s="19"/>
      <c r="K463" s="19">
        <f t="shared" si="11"/>
        <v>0</v>
      </c>
      <c r="L463" s="19"/>
      <c r="M463" s="19">
        <f t="shared" si="5"/>
        <v>0</v>
      </c>
      <c r="N463" s="19"/>
      <c r="O463" s="19">
        <f t="shared" si="6"/>
        <v>0</v>
      </c>
      <c r="P463" s="19" t="str">
        <f t="shared" si="7"/>
        <v>Punkte M 7-9</v>
      </c>
      <c r="Q463" s="19" t="str">
        <f t="shared" si="8"/>
        <v>Noten-Matrix-Jungen</v>
      </c>
      <c r="R463" s="21">
        <f t="shared" si="9"/>
        <v>0</v>
      </c>
      <c r="S463" s="19" t="str">
        <f>IF(R463=0, "Keine Teilnahme", IFERROR(IF(R463&gt;=VLOOKUP(G463&amp;LOWER(E463), Formeln!$H$2:$K$11, 4, FALSE), "Ehrenurkunde", IF(R463&gt;=VLOOKUP(G463&amp;LOWER(E463), Formeln!$H$2:$K$11, 3, FALSE), "Siegerurkunde", "Teilnehmerurkunde")), "Keine Urkunde"))</f>
        <v>Keine Teilnahme</v>
      </c>
      <c r="T463" s="22" t="str">
        <f t="shared" si="10"/>
        <v>Keine Teilnahme</v>
      </c>
    </row>
    <row r="464" ht="19.5" hidden="1" customHeight="1">
      <c r="A464" s="7" t="str">
        <f>IF(ASV_Daten!A462="","",ASV_Daten!A462)</f>
        <v/>
      </c>
      <c r="B464" s="7" t="str">
        <f>IF(ASV_Daten!B462="","",ASV_Daten!B462)</f>
        <v/>
      </c>
      <c r="C464" s="7" t="str">
        <f>IF(ASV_Daten!C462="","",ASV_Daten!C462)</f>
        <v/>
      </c>
      <c r="D464" s="34" t="str">
        <f>IF(ASV_Daten!D462="","",ASV_Daten!D462)</f>
        <v/>
      </c>
      <c r="E464" s="7" t="str">
        <f>IF(ASV_Daten!E462="","",ASV_Daten!E462)</f>
        <v/>
      </c>
      <c r="F464" s="8" t="str">
        <f t="shared" si="1"/>
        <v/>
      </c>
      <c r="G464" s="9">
        <f t="shared" si="2"/>
        <v>2026</v>
      </c>
      <c r="H464" s="11"/>
      <c r="I464" s="11">
        <f t="shared" si="3"/>
        <v>0</v>
      </c>
      <c r="J464" s="11"/>
      <c r="K464" s="11">
        <f t="shared" si="11"/>
        <v>0</v>
      </c>
      <c r="L464" s="11"/>
      <c r="M464" s="11">
        <f t="shared" si="5"/>
        <v>0</v>
      </c>
      <c r="N464" s="11"/>
      <c r="O464" s="11">
        <f t="shared" si="6"/>
        <v>0</v>
      </c>
      <c r="P464" s="11" t="str">
        <f t="shared" si="7"/>
        <v>Punkte M 7-9</v>
      </c>
      <c r="Q464" s="11" t="str">
        <f t="shared" si="8"/>
        <v>Noten-Matrix-Jungen</v>
      </c>
      <c r="R464" s="13">
        <f t="shared" si="9"/>
        <v>0</v>
      </c>
      <c r="S464" s="11" t="str">
        <f>IF(R464=0, "Keine Teilnahme", IFERROR(IF(R464&gt;=VLOOKUP(G464&amp;LOWER(E464), Formeln!$H$2:$K$11, 4, FALSE), "Ehrenurkunde", IF(R464&gt;=VLOOKUP(G464&amp;LOWER(E464), Formeln!$H$2:$K$11, 3, FALSE), "Siegerurkunde", "Teilnehmerurkunde")), "Keine Urkunde"))</f>
        <v>Keine Teilnahme</v>
      </c>
      <c r="T464" s="14" t="str">
        <f t="shared" si="10"/>
        <v>Keine Teilnahme</v>
      </c>
    </row>
    <row r="465" ht="19.5" hidden="1" customHeight="1">
      <c r="A465" s="15" t="str">
        <f>IF(ASV_Daten!A464="","",ASV_Daten!A464)</f>
        <v/>
      </c>
      <c r="B465" s="15" t="str">
        <f>IF(ASV_Daten!B464="","",ASV_Daten!B464)</f>
        <v/>
      </c>
      <c r="C465" s="15" t="str">
        <f>IF(ASV_Daten!C464="","",ASV_Daten!C464)</f>
        <v/>
      </c>
      <c r="D465" s="35" t="str">
        <f>IF(ASV_Daten!D464="","",ASV_Daten!D464)</f>
        <v/>
      </c>
      <c r="E465" s="15" t="str">
        <f>IF(ASV_Daten!E464="","",ASV_Daten!E464)</f>
        <v/>
      </c>
      <c r="F465" s="16" t="str">
        <f t="shared" si="1"/>
        <v/>
      </c>
      <c r="G465" s="17">
        <f t="shared" si="2"/>
        <v>2026</v>
      </c>
      <c r="H465" s="19"/>
      <c r="I465" s="19">
        <f t="shared" si="3"/>
        <v>0</v>
      </c>
      <c r="J465" s="19"/>
      <c r="K465" s="19">
        <f t="shared" si="11"/>
        <v>0</v>
      </c>
      <c r="L465" s="19"/>
      <c r="M465" s="19">
        <f t="shared" si="5"/>
        <v>0</v>
      </c>
      <c r="N465" s="19"/>
      <c r="O465" s="19">
        <f t="shared" si="6"/>
        <v>0</v>
      </c>
      <c r="P465" s="19" t="str">
        <f t="shared" si="7"/>
        <v>Punkte M 7-9</v>
      </c>
      <c r="Q465" s="19" t="str">
        <f t="shared" si="8"/>
        <v>Noten-Matrix-Jungen</v>
      </c>
      <c r="R465" s="21">
        <f t="shared" si="9"/>
        <v>0</v>
      </c>
      <c r="S465" s="19" t="str">
        <f>IF(R465=0, "Keine Teilnahme", IFERROR(IF(R465&gt;=VLOOKUP(G465&amp;LOWER(E465), Formeln!$H$2:$K$11, 4, FALSE), "Ehrenurkunde", IF(R465&gt;=VLOOKUP(G465&amp;LOWER(E465), Formeln!$H$2:$K$11, 3, FALSE), "Siegerurkunde", "Teilnehmerurkunde")), "Keine Urkunde"))</f>
        <v>Keine Teilnahme</v>
      </c>
      <c r="T465" s="22" t="str">
        <f t="shared" si="10"/>
        <v>Keine Teilnahme</v>
      </c>
    </row>
    <row r="466" ht="19.5" hidden="1" customHeight="1">
      <c r="A466" s="7" t="str">
        <f>IF(ASV_Daten!A465="","",ASV_Daten!A465)</f>
        <v/>
      </c>
      <c r="B466" s="7" t="str">
        <f>IF(ASV_Daten!B465="","",ASV_Daten!B465)</f>
        <v/>
      </c>
      <c r="C466" s="7" t="str">
        <f>IF(ASV_Daten!C465="","",ASV_Daten!C465)</f>
        <v/>
      </c>
      <c r="D466" s="7" t="str">
        <f>IF(ASV_Daten!D465="","",ASV_Daten!D465)</f>
        <v/>
      </c>
      <c r="E466" s="7" t="str">
        <f>IF(ASV_Daten!E465="","",ASV_Daten!E465)</f>
        <v/>
      </c>
      <c r="F466" s="8" t="str">
        <f t="shared" si="1"/>
        <v/>
      </c>
      <c r="G466" s="9">
        <f t="shared" si="2"/>
        <v>2026</v>
      </c>
      <c r="H466" s="11"/>
      <c r="I466" s="11">
        <f t="shared" si="3"/>
        <v>0</v>
      </c>
      <c r="J466" s="11"/>
      <c r="K466" s="11">
        <f t="shared" si="11"/>
        <v>0</v>
      </c>
      <c r="L466" s="11"/>
      <c r="M466" s="11">
        <f t="shared" si="5"/>
        <v>0</v>
      </c>
      <c r="N466" s="11"/>
      <c r="O466" s="11">
        <f t="shared" si="6"/>
        <v>0</v>
      </c>
      <c r="P466" s="11" t="str">
        <f t="shared" si="7"/>
        <v>Punkte M 7-9</v>
      </c>
      <c r="Q466" s="11" t="str">
        <f t="shared" si="8"/>
        <v>Noten-Matrix-Jungen</v>
      </c>
      <c r="R466" s="13">
        <f t="shared" si="9"/>
        <v>0</v>
      </c>
      <c r="S466" s="11" t="str">
        <f>IF(R466=0, "Keine Teilnahme", IFERROR(IF(R466&gt;=VLOOKUP(G466&amp;LOWER(E466), Formeln!$H$2:$K$11, 4, FALSE), "Ehrenurkunde", IF(R466&gt;=VLOOKUP(G466&amp;LOWER(E466), Formeln!$H$2:$K$11, 3, FALSE), "Siegerurkunde", "Teilnehmerurkunde")), "Keine Urkunde"))</f>
        <v>Keine Teilnahme</v>
      </c>
      <c r="T466" s="14" t="str">
        <f t="shared" si="10"/>
        <v>Keine Teilnahme</v>
      </c>
    </row>
    <row r="467" ht="19.5" hidden="1" customHeight="1">
      <c r="A467" s="15" t="str">
        <f>IF(ASV_Daten!A466="","",ASV_Daten!A466)</f>
        <v/>
      </c>
      <c r="B467" s="15" t="str">
        <f>IF(ASV_Daten!B466="","",ASV_Daten!B466)</f>
        <v/>
      </c>
      <c r="C467" s="15" t="str">
        <f>IF(ASV_Daten!C466="","",ASV_Daten!C466)</f>
        <v/>
      </c>
      <c r="D467" s="35" t="str">
        <f>IF(ASV_Daten!D466="","",ASV_Daten!D466)</f>
        <v/>
      </c>
      <c r="E467" s="15" t="str">
        <f>IF(ASV_Daten!E466="","",ASV_Daten!E466)</f>
        <v/>
      </c>
      <c r="F467" s="16" t="str">
        <f t="shared" si="1"/>
        <v/>
      </c>
      <c r="G467" s="17">
        <f t="shared" si="2"/>
        <v>2026</v>
      </c>
      <c r="H467" s="19"/>
      <c r="I467" s="19">
        <f t="shared" si="3"/>
        <v>0</v>
      </c>
      <c r="J467" s="19"/>
      <c r="K467" s="19">
        <f t="shared" si="11"/>
        <v>0</v>
      </c>
      <c r="L467" s="19"/>
      <c r="M467" s="19">
        <f t="shared" si="5"/>
        <v>0</v>
      </c>
      <c r="N467" s="19"/>
      <c r="O467" s="19">
        <f t="shared" si="6"/>
        <v>0</v>
      </c>
      <c r="P467" s="19" t="str">
        <f t="shared" si="7"/>
        <v>Punkte M 7-9</v>
      </c>
      <c r="Q467" s="19" t="str">
        <f t="shared" si="8"/>
        <v>Noten-Matrix-Jungen</v>
      </c>
      <c r="R467" s="21">
        <f t="shared" si="9"/>
        <v>0</v>
      </c>
      <c r="S467" s="19" t="str">
        <f>IF(R467=0, "Keine Teilnahme", IFERROR(IF(R467&gt;=VLOOKUP(G467&amp;LOWER(E467), Formeln!$H$2:$K$11, 4, FALSE), "Ehrenurkunde", IF(R467&gt;=VLOOKUP(G467&amp;LOWER(E467), Formeln!$H$2:$K$11, 3, FALSE), "Siegerurkunde", "Teilnehmerurkunde")), "Keine Urkunde"))</f>
        <v>Keine Teilnahme</v>
      </c>
      <c r="T467" s="22" t="str">
        <f t="shared" si="10"/>
        <v>Keine Teilnahme</v>
      </c>
    </row>
    <row r="468" ht="19.5" hidden="1" customHeight="1">
      <c r="A468" s="7" t="str">
        <f>IF(ASV_Daten!A467="","",ASV_Daten!A467)</f>
        <v/>
      </c>
      <c r="B468" s="7" t="str">
        <f>IF(ASV_Daten!B467="","",ASV_Daten!B467)</f>
        <v/>
      </c>
      <c r="C468" s="7" t="str">
        <f>IF(ASV_Daten!C467="","",ASV_Daten!C467)</f>
        <v/>
      </c>
      <c r="D468" s="7" t="str">
        <f>IF(ASV_Daten!D467="","",ASV_Daten!D467)</f>
        <v/>
      </c>
      <c r="E468" s="7" t="str">
        <f>IF(ASV_Daten!E467="","",ASV_Daten!E467)</f>
        <v/>
      </c>
      <c r="F468" s="8" t="str">
        <f t="shared" si="1"/>
        <v/>
      </c>
      <c r="G468" s="9">
        <f t="shared" si="2"/>
        <v>2026</v>
      </c>
      <c r="H468" s="11"/>
      <c r="I468" s="11">
        <f t="shared" si="3"/>
        <v>0</v>
      </c>
      <c r="J468" s="11"/>
      <c r="K468" s="11">
        <f t="shared" si="11"/>
        <v>0</v>
      </c>
      <c r="L468" s="11"/>
      <c r="M468" s="11">
        <f t="shared" si="5"/>
        <v>0</v>
      </c>
      <c r="N468" s="11"/>
      <c r="O468" s="11">
        <f t="shared" si="6"/>
        <v>0</v>
      </c>
      <c r="P468" s="11" t="str">
        <f t="shared" si="7"/>
        <v>Punkte M 7-9</v>
      </c>
      <c r="Q468" s="11" t="str">
        <f t="shared" si="8"/>
        <v>Noten-Matrix-Jungen</v>
      </c>
      <c r="R468" s="13">
        <f t="shared" si="9"/>
        <v>0</v>
      </c>
      <c r="S468" s="11" t="str">
        <f>IF(R468=0, "Keine Teilnahme", IFERROR(IF(R468&gt;=VLOOKUP(G468&amp;LOWER(E468), Formeln!$H$2:$K$11, 4, FALSE), "Ehrenurkunde", IF(R468&gt;=VLOOKUP(G468&amp;LOWER(E468), Formeln!$H$2:$K$11, 3, FALSE), "Siegerurkunde", "Teilnehmerurkunde")), "Keine Urkunde"))</f>
        <v>Keine Teilnahme</v>
      </c>
      <c r="T468" s="14" t="str">
        <f t="shared" si="10"/>
        <v>Keine Teilnahme</v>
      </c>
    </row>
    <row r="469" ht="19.5" hidden="1" customHeight="1">
      <c r="A469" s="15" t="str">
        <f>IF(ASV_Daten!A469="","",ASV_Daten!A469)</f>
        <v/>
      </c>
      <c r="B469" s="15" t="str">
        <f>IF(ASV_Daten!B469="","",ASV_Daten!B469)</f>
        <v/>
      </c>
      <c r="C469" s="15" t="str">
        <f>IF(ASV_Daten!C469="","",ASV_Daten!C469)</f>
        <v/>
      </c>
      <c r="D469" s="15" t="str">
        <f>IF(ASV_Daten!D469="","",ASV_Daten!D469)</f>
        <v/>
      </c>
      <c r="E469" s="15" t="str">
        <f>IF(ASV_Daten!E469="","",ASV_Daten!E469)</f>
        <v/>
      </c>
      <c r="F469" s="16" t="str">
        <f t="shared" si="1"/>
        <v/>
      </c>
      <c r="G469" s="17">
        <f t="shared" si="2"/>
        <v>2026</v>
      </c>
      <c r="H469" s="19"/>
      <c r="I469" s="19">
        <f t="shared" si="3"/>
        <v>0</v>
      </c>
      <c r="J469" s="19"/>
      <c r="K469" s="19">
        <f t="shared" si="11"/>
        <v>0</v>
      </c>
      <c r="L469" s="19"/>
      <c r="M469" s="19">
        <f t="shared" si="5"/>
        <v>0</v>
      </c>
      <c r="N469" s="19"/>
      <c r="O469" s="19">
        <f t="shared" si="6"/>
        <v>0</v>
      </c>
      <c r="P469" s="19" t="str">
        <f t="shared" si="7"/>
        <v>Punkte M 7-9</v>
      </c>
      <c r="Q469" s="19" t="str">
        <f t="shared" si="8"/>
        <v>Noten-Matrix-Jungen</v>
      </c>
      <c r="R469" s="21">
        <f t="shared" si="9"/>
        <v>0</v>
      </c>
      <c r="S469" s="19" t="str">
        <f>IF(R469=0, "Keine Teilnahme", IFERROR(IF(R469&gt;=VLOOKUP(G469&amp;LOWER(E469), Formeln!$H$2:$K$11, 4, FALSE), "Ehrenurkunde", IF(R469&gt;=VLOOKUP(G469&amp;LOWER(E469), Formeln!$H$2:$K$11, 3, FALSE), "Siegerurkunde", "Teilnehmerurkunde")), "Keine Urkunde"))</f>
        <v>Keine Teilnahme</v>
      </c>
      <c r="T469" s="22" t="str">
        <f t="shared" si="10"/>
        <v>Keine Teilnahme</v>
      </c>
    </row>
    <row r="470" ht="19.5" hidden="1" customHeight="1">
      <c r="A470" s="7" t="str">
        <f>IF(ASV_Daten!A468="","",ASV_Daten!A468)</f>
        <v/>
      </c>
      <c r="B470" s="7" t="str">
        <f>IF(ASV_Daten!B468="","",ASV_Daten!B468)</f>
        <v/>
      </c>
      <c r="C470" s="7" t="str">
        <f>IF(ASV_Daten!C468="","",ASV_Daten!C468)</f>
        <v/>
      </c>
      <c r="D470" s="34" t="str">
        <f>IF(ASV_Daten!D468="","",ASV_Daten!D468)</f>
        <v/>
      </c>
      <c r="E470" s="7" t="str">
        <f>IF(ASV_Daten!E468="","",ASV_Daten!E468)</f>
        <v/>
      </c>
      <c r="F470" s="8" t="str">
        <f t="shared" si="1"/>
        <v/>
      </c>
      <c r="G470" s="9">
        <f t="shared" si="2"/>
        <v>2026</v>
      </c>
      <c r="H470" s="11"/>
      <c r="I470" s="11">
        <f t="shared" si="3"/>
        <v>0</v>
      </c>
      <c r="J470" s="11"/>
      <c r="K470" s="11">
        <f t="shared" si="11"/>
        <v>0</v>
      </c>
      <c r="L470" s="11"/>
      <c r="M470" s="11">
        <f t="shared" si="5"/>
        <v>0</v>
      </c>
      <c r="N470" s="11"/>
      <c r="O470" s="11">
        <f t="shared" si="6"/>
        <v>0</v>
      </c>
      <c r="P470" s="11" t="str">
        <f t="shared" si="7"/>
        <v>Punkte M 7-9</v>
      </c>
      <c r="Q470" s="11" t="str">
        <f t="shared" si="8"/>
        <v>Noten-Matrix-Jungen</v>
      </c>
      <c r="R470" s="13">
        <f t="shared" si="9"/>
        <v>0</v>
      </c>
      <c r="S470" s="11" t="str">
        <f>IF(R470=0, "Keine Teilnahme", IFERROR(IF(R470&gt;=VLOOKUP(G470&amp;LOWER(E470), Formeln!$H$2:$K$11, 4, FALSE), "Ehrenurkunde", IF(R470&gt;=VLOOKUP(G470&amp;LOWER(E470), Formeln!$H$2:$K$11, 3, FALSE), "Siegerurkunde", "Teilnehmerurkunde")), "Keine Urkunde"))</f>
        <v>Keine Teilnahme</v>
      </c>
      <c r="T470" s="14" t="str">
        <f t="shared" si="10"/>
        <v>Keine Teilnahme</v>
      </c>
    </row>
    <row r="471" ht="19.5" hidden="1" customHeight="1">
      <c r="A471" s="15" t="str">
        <f>IF(ASV_Daten!A470="","",ASV_Daten!A470)</f>
        <v/>
      </c>
      <c r="B471" s="15" t="str">
        <f>IF(ASV_Daten!B470="","",ASV_Daten!B470)</f>
        <v/>
      </c>
      <c r="C471" s="15" t="str">
        <f>IF(ASV_Daten!C470="","",ASV_Daten!C470)</f>
        <v/>
      </c>
      <c r="D471" s="35" t="str">
        <f>IF(ASV_Daten!D470="","",ASV_Daten!D470)</f>
        <v/>
      </c>
      <c r="E471" s="15" t="str">
        <f>IF(ASV_Daten!E470="","",ASV_Daten!E470)</f>
        <v/>
      </c>
      <c r="F471" s="16" t="str">
        <f t="shared" si="1"/>
        <v/>
      </c>
      <c r="G471" s="17">
        <f t="shared" si="2"/>
        <v>2026</v>
      </c>
      <c r="H471" s="19"/>
      <c r="I471" s="19">
        <f t="shared" si="3"/>
        <v>0</v>
      </c>
      <c r="J471" s="19"/>
      <c r="K471" s="19">
        <f t="shared" si="11"/>
        <v>0</v>
      </c>
      <c r="L471" s="19"/>
      <c r="M471" s="19">
        <f t="shared" si="5"/>
        <v>0</v>
      </c>
      <c r="N471" s="19"/>
      <c r="O471" s="19">
        <f t="shared" si="6"/>
        <v>0</v>
      </c>
      <c r="P471" s="19" t="str">
        <f t="shared" si="7"/>
        <v>Punkte M 7-9</v>
      </c>
      <c r="Q471" s="19" t="str">
        <f t="shared" si="8"/>
        <v>Noten-Matrix-Jungen</v>
      </c>
      <c r="R471" s="21">
        <f t="shared" si="9"/>
        <v>0</v>
      </c>
      <c r="S471" s="19" t="str">
        <f>IF(R471=0, "Keine Teilnahme", IFERROR(IF(R471&gt;=VLOOKUP(G471&amp;LOWER(E471), Formeln!$H$2:$K$11, 4, FALSE), "Ehrenurkunde", IF(R471&gt;=VLOOKUP(G471&amp;LOWER(E471), Formeln!$H$2:$K$11, 3, FALSE), "Siegerurkunde", "Teilnehmerurkunde")), "Keine Urkunde"))</f>
        <v>Keine Teilnahme</v>
      </c>
      <c r="T471" s="22" t="str">
        <f t="shared" si="10"/>
        <v>Keine Teilnahme</v>
      </c>
    </row>
    <row r="472" ht="19.5" hidden="1" customHeight="1">
      <c r="A472" s="7" t="str">
        <f>IF(ASV_Daten!A471="","",ASV_Daten!A471)</f>
        <v/>
      </c>
      <c r="B472" s="7" t="str">
        <f>IF(ASV_Daten!B471="","",ASV_Daten!B471)</f>
        <v/>
      </c>
      <c r="C472" s="7" t="str">
        <f>IF(ASV_Daten!C471="","",ASV_Daten!C471)</f>
        <v/>
      </c>
      <c r="D472" s="34" t="str">
        <f>IF(ASV_Daten!D471="","",ASV_Daten!D471)</f>
        <v/>
      </c>
      <c r="E472" s="7" t="str">
        <f>IF(ASV_Daten!E471="","",ASV_Daten!E471)</f>
        <v/>
      </c>
      <c r="F472" s="8" t="str">
        <f t="shared" si="1"/>
        <v/>
      </c>
      <c r="G472" s="9">
        <f t="shared" si="2"/>
        <v>2026</v>
      </c>
      <c r="H472" s="11"/>
      <c r="I472" s="11">
        <f t="shared" si="3"/>
        <v>0</v>
      </c>
      <c r="J472" s="11"/>
      <c r="K472" s="11">
        <f t="shared" si="11"/>
        <v>0</v>
      </c>
      <c r="L472" s="11"/>
      <c r="M472" s="11">
        <f t="shared" si="5"/>
        <v>0</v>
      </c>
      <c r="N472" s="11"/>
      <c r="O472" s="11">
        <f t="shared" si="6"/>
        <v>0</v>
      </c>
      <c r="P472" s="11" t="str">
        <f t="shared" si="7"/>
        <v>Punkte M 7-9</v>
      </c>
      <c r="Q472" s="11" t="str">
        <f t="shared" si="8"/>
        <v>Noten-Matrix-Jungen</v>
      </c>
      <c r="R472" s="13">
        <f t="shared" si="9"/>
        <v>0</v>
      </c>
      <c r="S472" s="11" t="str">
        <f>IF(R472=0, "Keine Teilnahme", IFERROR(IF(R472&gt;=VLOOKUP(G472&amp;LOWER(E472), Formeln!$H$2:$K$11, 4, FALSE), "Ehrenurkunde", IF(R472&gt;=VLOOKUP(G472&amp;LOWER(E472), Formeln!$H$2:$K$11, 3, FALSE), "Siegerurkunde", "Teilnehmerurkunde")), "Keine Urkunde"))</f>
        <v>Keine Teilnahme</v>
      </c>
      <c r="T472" s="14" t="str">
        <f t="shared" si="10"/>
        <v>Keine Teilnahme</v>
      </c>
    </row>
    <row r="473" ht="19.5" hidden="1" customHeight="1">
      <c r="A473" s="15" t="str">
        <f>IF(ASV_Daten!A472="","",ASV_Daten!A472)</f>
        <v/>
      </c>
      <c r="B473" s="15" t="str">
        <f>IF(ASV_Daten!B472="","",ASV_Daten!B472)</f>
        <v/>
      </c>
      <c r="C473" s="15" t="str">
        <f>IF(ASV_Daten!C472="","",ASV_Daten!C472)</f>
        <v/>
      </c>
      <c r="D473" s="35" t="str">
        <f>IF(ASV_Daten!D472="","",ASV_Daten!D472)</f>
        <v/>
      </c>
      <c r="E473" s="15" t="str">
        <f>IF(ASV_Daten!E472="","",ASV_Daten!E472)</f>
        <v/>
      </c>
      <c r="F473" s="16" t="str">
        <f t="shared" si="1"/>
        <v/>
      </c>
      <c r="G473" s="17">
        <f t="shared" si="2"/>
        <v>2026</v>
      </c>
      <c r="H473" s="19"/>
      <c r="I473" s="19">
        <f t="shared" si="3"/>
        <v>0</v>
      </c>
      <c r="J473" s="19"/>
      <c r="K473" s="19">
        <f t="shared" si="11"/>
        <v>0</v>
      </c>
      <c r="L473" s="19"/>
      <c r="M473" s="19">
        <f t="shared" si="5"/>
        <v>0</v>
      </c>
      <c r="N473" s="19"/>
      <c r="O473" s="19">
        <f t="shared" si="6"/>
        <v>0</v>
      </c>
      <c r="P473" s="19" t="str">
        <f t="shared" si="7"/>
        <v>Punkte M 7-9</v>
      </c>
      <c r="Q473" s="19" t="str">
        <f t="shared" si="8"/>
        <v>Noten-Matrix-Jungen</v>
      </c>
      <c r="R473" s="21">
        <f t="shared" si="9"/>
        <v>0</v>
      </c>
      <c r="S473" s="19" t="str">
        <f>IF(R473=0, "Keine Teilnahme", IFERROR(IF(R473&gt;=VLOOKUP(G473&amp;LOWER(E473), Formeln!$H$2:$K$11, 4, FALSE), "Ehrenurkunde", IF(R473&gt;=VLOOKUP(G473&amp;LOWER(E473), Formeln!$H$2:$K$11, 3, FALSE), "Siegerurkunde", "Teilnehmerurkunde")), "Keine Urkunde"))</f>
        <v>Keine Teilnahme</v>
      </c>
      <c r="T473" s="22" t="str">
        <f t="shared" si="10"/>
        <v>Keine Teilnahme</v>
      </c>
    </row>
    <row r="474" ht="19.5" hidden="1" customHeight="1">
      <c r="A474" s="7" t="str">
        <f>IF(ASV_Daten!A473="","",ASV_Daten!A473)</f>
        <v/>
      </c>
      <c r="B474" s="7" t="str">
        <f>IF(ASV_Daten!B473="","",ASV_Daten!B473)</f>
        <v/>
      </c>
      <c r="C474" s="7" t="str">
        <f>IF(ASV_Daten!C473="","",ASV_Daten!C473)</f>
        <v/>
      </c>
      <c r="D474" s="34" t="str">
        <f>IF(ASV_Daten!D473="","",ASV_Daten!D473)</f>
        <v/>
      </c>
      <c r="E474" s="7" t="str">
        <f>IF(ASV_Daten!E473="","",ASV_Daten!E473)</f>
        <v/>
      </c>
      <c r="F474" s="8" t="str">
        <f t="shared" si="1"/>
        <v/>
      </c>
      <c r="G474" s="9">
        <f t="shared" si="2"/>
        <v>2026</v>
      </c>
      <c r="H474" s="11"/>
      <c r="I474" s="11">
        <f t="shared" si="3"/>
        <v>0</v>
      </c>
      <c r="J474" s="11"/>
      <c r="K474" s="11">
        <f t="shared" si="11"/>
        <v>0</v>
      </c>
      <c r="L474" s="11"/>
      <c r="M474" s="11">
        <f t="shared" si="5"/>
        <v>0</v>
      </c>
      <c r="N474" s="11"/>
      <c r="O474" s="11">
        <f t="shared" si="6"/>
        <v>0</v>
      </c>
      <c r="P474" s="11" t="str">
        <f t="shared" si="7"/>
        <v>Punkte M 7-9</v>
      </c>
      <c r="Q474" s="11" t="str">
        <f t="shared" si="8"/>
        <v>Noten-Matrix-Jungen</v>
      </c>
      <c r="R474" s="13">
        <f t="shared" si="9"/>
        <v>0</v>
      </c>
      <c r="S474" s="11" t="str">
        <f>IF(R474=0, "Keine Teilnahme", IFERROR(IF(R474&gt;=VLOOKUP(G474&amp;LOWER(E474), Formeln!$H$2:$K$11, 4, FALSE), "Ehrenurkunde", IF(R474&gt;=VLOOKUP(G474&amp;LOWER(E474), Formeln!$H$2:$K$11, 3, FALSE), "Siegerurkunde", "Teilnehmerurkunde")), "Keine Urkunde"))</f>
        <v>Keine Teilnahme</v>
      </c>
      <c r="T474" s="14" t="str">
        <f t="shared" si="10"/>
        <v>Keine Teilnahme</v>
      </c>
    </row>
  </sheetData>
  <autoFilter ref="$A$1:$Y$474">
    <filterColumn colId="4">
      <filters blank="1">
        <filter val="W"/>
        <filter val="M"/>
      </filters>
    </filterColumn>
    <filterColumn colId="0">
      <filters>
        <filter val="R6B"/>
      </filters>
    </filterColumn>
    <sortState ref="A1:Y474">
      <sortCondition ref="A1:A474"/>
      <sortCondition ref="C1:C474"/>
      <sortCondition ref="B1:B474"/>
    </sortState>
  </autoFilter>
  <conditionalFormatting sqref="S2:S474">
    <cfRule type="cellIs" dxfId="1" priority="1" stopIfTrue="1" operator="equal">
      <formula>"Ehrenurkunde"</formula>
    </cfRule>
  </conditionalFormatting>
  <conditionalFormatting sqref="S2:S474">
    <cfRule type="cellIs" dxfId="2" priority="2" stopIfTrue="1" operator="equal">
      <formula>"Siegerurkunde"</formula>
    </cfRule>
  </conditionalFormatting>
  <conditionalFormatting sqref="S2:S474">
    <cfRule type="cellIs" dxfId="3" priority="3" stopIfTrue="1" operator="equal">
      <formula>"Teilnehmerurkunde"</formula>
    </cfRule>
  </conditionalFormatting>
  <conditionalFormatting sqref="H2:Q474">
    <cfRule type="expression" dxfId="4" priority="4">
      <formula>"w"</formula>
    </cfRule>
  </conditionalFormatting>
  <conditionalFormatting sqref="E1:F474">
    <cfRule type="cellIs" dxfId="5" priority="5" operator="equal">
      <formula>"M"</formula>
    </cfRule>
  </conditionalFormatting>
  <conditionalFormatting sqref="E1:F474">
    <cfRule type="cellIs" dxfId="6" priority="6" operator="equal">
      <formula>"W"</formula>
    </cfRule>
  </conditionalFormatting>
  <dataValidations>
    <dataValidation type="list" allowBlank="1" sqref="E2:E474">
      <formula1>"M,W"</formula1>
    </dataValidation>
  </dataValidation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43.5" customHeight="1">
      <c r="A1" s="36" t="s">
        <v>22</v>
      </c>
      <c r="B1" s="37"/>
      <c r="C1" s="37"/>
      <c r="D1" s="37"/>
      <c r="E1" s="37"/>
      <c r="F1" s="38"/>
    </row>
    <row r="2" ht="12.75" customHeight="1"/>
    <row r="3" ht="19.5" customHeight="1">
      <c r="A3" s="39" t="s">
        <v>23</v>
      </c>
      <c r="B3" s="40"/>
      <c r="C3" s="41"/>
      <c r="D3" s="42"/>
      <c r="E3" s="43" t="s">
        <v>24</v>
      </c>
      <c r="F3" s="40"/>
      <c r="G3" s="42"/>
      <c r="H3" s="42"/>
      <c r="I3" s="39" t="s">
        <v>25</v>
      </c>
      <c r="J3" s="40"/>
      <c r="M3" s="39" t="s">
        <v>26</v>
      </c>
      <c r="N3" s="40"/>
      <c r="Q3" s="23"/>
      <c r="R3" s="23"/>
    </row>
    <row r="4" ht="12.75" customHeight="1">
      <c r="A4" s="44" t="s">
        <v>27</v>
      </c>
      <c r="B4" s="44" t="s">
        <v>28</v>
      </c>
      <c r="C4" s="23"/>
      <c r="D4" s="23"/>
      <c r="E4" s="44" t="s">
        <v>29</v>
      </c>
      <c r="F4" s="44" t="s">
        <v>28</v>
      </c>
      <c r="G4" s="23"/>
      <c r="H4" s="23"/>
      <c r="I4" s="44" t="s">
        <v>30</v>
      </c>
      <c r="J4" s="44" t="s">
        <v>28</v>
      </c>
      <c r="M4" s="44" t="s">
        <v>30</v>
      </c>
      <c r="N4" s="44" t="s">
        <v>28</v>
      </c>
      <c r="Q4" s="23"/>
      <c r="R4" s="23"/>
    </row>
    <row r="5" ht="12.75" customHeight="1">
      <c r="A5" s="45">
        <v>0.2708333333333333</v>
      </c>
      <c r="B5" s="44">
        <v>67.0</v>
      </c>
      <c r="C5" s="23"/>
      <c r="D5" s="42"/>
      <c r="E5" s="44">
        <v>11.8</v>
      </c>
      <c r="F5" s="44">
        <v>52.0</v>
      </c>
      <c r="G5" s="42"/>
      <c r="H5" s="42"/>
      <c r="I5" s="44">
        <v>1.33</v>
      </c>
      <c r="J5" s="44">
        <v>1.0</v>
      </c>
      <c r="M5" s="44">
        <v>8.0</v>
      </c>
      <c r="N5" s="44">
        <v>2.0</v>
      </c>
      <c r="Q5" s="23"/>
      <c r="R5" s="23"/>
    </row>
    <row r="6" ht="12.75" customHeight="1">
      <c r="A6" s="45">
        <v>0.2673611111111111</v>
      </c>
      <c r="B6" s="44">
        <v>73.0</v>
      </c>
      <c r="C6" s="23"/>
      <c r="D6" s="42"/>
      <c r="E6" s="44">
        <v>11.7</v>
      </c>
      <c r="F6" s="44">
        <v>57.0</v>
      </c>
      <c r="G6" s="42"/>
      <c r="H6" s="42"/>
      <c r="I6" s="44">
        <v>1.37</v>
      </c>
      <c r="J6" s="44">
        <v>9.0</v>
      </c>
      <c r="M6" s="44">
        <v>8.5</v>
      </c>
      <c r="N6" s="44">
        <v>10.0</v>
      </c>
      <c r="Q6" s="23"/>
      <c r="R6" s="23"/>
    </row>
    <row r="7" ht="12.75" customHeight="1">
      <c r="A7" s="45">
        <v>0.2638888888888889</v>
      </c>
      <c r="B7" s="44">
        <v>78.0</v>
      </c>
      <c r="C7" s="23"/>
      <c r="D7" s="42"/>
      <c r="E7" s="44">
        <v>11.6</v>
      </c>
      <c r="F7" s="44">
        <v>62.0</v>
      </c>
      <c r="G7" s="42"/>
      <c r="H7" s="42"/>
      <c r="I7" s="44">
        <v>1.41</v>
      </c>
      <c r="J7" s="44">
        <v>16.0</v>
      </c>
      <c r="M7" s="44">
        <v>9.0</v>
      </c>
      <c r="N7" s="44">
        <v>18.0</v>
      </c>
      <c r="Q7" s="23"/>
      <c r="R7" s="23"/>
    </row>
    <row r="8" ht="12.75" customHeight="1">
      <c r="A8" s="45">
        <v>0.2604166666666667</v>
      </c>
      <c r="B8" s="44">
        <v>84.0</v>
      </c>
      <c r="C8" s="23"/>
      <c r="D8" s="42"/>
      <c r="E8" s="44">
        <v>11.5</v>
      </c>
      <c r="F8" s="44">
        <v>67.0</v>
      </c>
      <c r="G8" s="42"/>
      <c r="H8" s="42"/>
      <c r="I8" s="44">
        <v>1.45</v>
      </c>
      <c r="J8" s="44">
        <v>24.0</v>
      </c>
      <c r="M8" s="44">
        <v>9.5</v>
      </c>
      <c r="N8" s="44">
        <v>25.0</v>
      </c>
      <c r="Q8" s="23"/>
      <c r="R8" s="23"/>
    </row>
    <row r="9" ht="12.75" customHeight="1">
      <c r="A9" s="45">
        <v>0.2569444444444444</v>
      </c>
      <c r="B9" s="44">
        <v>90.0</v>
      </c>
      <c r="C9" s="23"/>
      <c r="D9" s="42"/>
      <c r="E9" s="44">
        <v>11.4</v>
      </c>
      <c r="F9" s="44">
        <v>73.0</v>
      </c>
      <c r="G9" s="42"/>
      <c r="H9" s="42"/>
      <c r="I9" s="44">
        <v>1.49</v>
      </c>
      <c r="J9" s="44">
        <v>32.0</v>
      </c>
      <c r="M9" s="44">
        <v>10.0</v>
      </c>
      <c r="N9" s="44">
        <v>32.0</v>
      </c>
      <c r="Q9" s="23"/>
      <c r="R9" s="23"/>
    </row>
    <row r="10" ht="12.75" customHeight="1">
      <c r="A10" s="45">
        <v>0.2534722222222222</v>
      </c>
      <c r="B10" s="44">
        <v>96.0</v>
      </c>
      <c r="C10" s="23"/>
      <c r="D10" s="42"/>
      <c r="E10" s="44">
        <v>11.3</v>
      </c>
      <c r="F10" s="44">
        <v>78.0</v>
      </c>
      <c r="G10" s="42"/>
      <c r="H10" s="42"/>
      <c r="I10" s="44">
        <v>1.53</v>
      </c>
      <c r="J10" s="44">
        <v>39.0</v>
      </c>
      <c r="M10" s="44">
        <v>10.5</v>
      </c>
      <c r="N10" s="44">
        <v>40.0</v>
      </c>
      <c r="Q10" s="23"/>
      <c r="R10" s="23"/>
    </row>
    <row r="11" ht="12.75" customHeight="1">
      <c r="A11" s="45">
        <v>0.25</v>
      </c>
      <c r="B11" s="44">
        <v>103.0</v>
      </c>
      <c r="C11" s="23"/>
      <c r="D11" s="42"/>
      <c r="E11" s="44">
        <v>11.2</v>
      </c>
      <c r="F11" s="44">
        <v>84.0</v>
      </c>
      <c r="G11" s="42"/>
      <c r="H11" s="42"/>
      <c r="I11" s="44">
        <v>1.57</v>
      </c>
      <c r="J11" s="44">
        <v>46.0</v>
      </c>
      <c r="M11" s="44">
        <v>11.0</v>
      </c>
      <c r="N11" s="44">
        <v>46.0</v>
      </c>
      <c r="Q11" s="23"/>
      <c r="R11" s="23"/>
    </row>
    <row r="12" ht="12.75" customHeight="1">
      <c r="A12" s="45">
        <v>0.24722222222222223</v>
      </c>
      <c r="B12" s="44">
        <v>108.0</v>
      </c>
      <c r="C12" s="23"/>
      <c r="D12" s="42"/>
      <c r="E12" s="44">
        <v>11.1</v>
      </c>
      <c r="F12" s="44">
        <v>89.0</v>
      </c>
      <c r="G12" s="42"/>
      <c r="H12" s="42"/>
      <c r="I12" s="44">
        <v>1.61</v>
      </c>
      <c r="J12" s="44">
        <v>54.0</v>
      </c>
      <c r="M12" s="44">
        <v>11.5</v>
      </c>
      <c r="N12" s="44">
        <v>53.0</v>
      </c>
      <c r="Q12" s="23"/>
      <c r="R12" s="23"/>
    </row>
    <row r="13" ht="12.75" customHeight="1">
      <c r="A13" s="45">
        <v>0.24444444444444444</v>
      </c>
      <c r="B13" s="44">
        <v>113.0</v>
      </c>
      <c r="C13" s="23"/>
      <c r="D13" s="42"/>
      <c r="E13" s="44">
        <v>11.0</v>
      </c>
      <c r="F13" s="44">
        <v>95.0</v>
      </c>
      <c r="G13" s="42"/>
      <c r="H13" s="42"/>
      <c r="I13" s="44">
        <v>1.65</v>
      </c>
      <c r="J13" s="44">
        <v>61.0</v>
      </c>
      <c r="M13" s="44">
        <v>12.0</v>
      </c>
      <c r="N13" s="44">
        <v>60.0</v>
      </c>
      <c r="Q13" s="23"/>
      <c r="R13" s="23"/>
    </row>
    <row r="14" ht="12.75" customHeight="1">
      <c r="A14" s="45">
        <v>0.24166666666666667</v>
      </c>
      <c r="B14" s="44">
        <v>119.0</v>
      </c>
      <c r="C14" s="23"/>
      <c r="D14" s="42"/>
      <c r="E14" s="44">
        <v>10.9</v>
      </c>
      <c r="F14" s="44">
        <v>101.0</v>
      </c>
      <c r="G14" s="42"/>
      <c r="H14" s="42"/>
      <c r="I14" s="44">
        <v>1.69</v>
      </c>
      <c r="J14" s="44">
        <v>68.0</v>
      </c>
      <c r="M14" s="44">
        <v>12.5</v>
      </c>
      <c r="N14" s="44">
        <v>66.0</v>
      </c>
      <c r="Q14" s="23"/>
      <c r="R14" s="23"/>
    </row>
    <row r="15" ht="12.75" customHeight="1">
      <c r="A15" s="45">
        <v>0.2388888888888889</v>
      </c>
      <c r="B15" s="44">
        <v>124.0</v>
      </c>
      <c r="C15" s="23"/>
      <c r="D15" s="42"/>
      <c r="E15" s="44">
        <v>10.8</v>
      </c>
      <c r="F15" s="44">
        <v>107.0</v>
      </c>
      <c r="G15" s="42"/>
      <c r="H15" s="42"/>
      <c r="I15" s="44">
        <v>1.73</v>
      </c>
      <c r="J15" s="44">
        <v>75.0</v>
      </c>
      <c r="M15" s="44">
        <v>13.0</v>
      </c>
      <c r="N15" s="44">
        <v>73.0</v>
      </c>
      <c r="Q15" s="23"/>
      <c r="R15" s="23"/>
    </row>
    <row r="16" ht="12.75" customHeight="1">
      <c r="A16" s="45">
        <v>0.2361111111111111</v>
      </c>
      <c r="B16" s="44">
        <v>130.0</v>
      </c>
      <c r="C16" s="23"/>
      <c r="D16" s="42"/>
      <c r="E16" s="44">
        <v>10.7</v>
      </c>
      <c r="F16" s="44">
        <v>113.0</v>
      </c>
      <c r="G16" s="42"/>
      <c r="H16" s="42"/>
      <c r="I16" s="44">
        <v>1.77</v>
      </c>
      <c r="J16" s="44">
        <v>82.0</v>
      </c>
      <c r="M16" s="44">
        <v>13.5</v>
      </c>
      <c r="N16" s="44">
        <v>79.0</v>
      </c>
      <c r="Q16" s="23"/>
      <c r="R16" s="23"/>
    </row>
    <row r="17" ht="12.75" customHeight="1">
      <c r="A17" s="45">
        <v>0.23333333333333334</v>
      </c>
      <c r="B17" s="44">
        <v>136.0</v>
      </c>
      <c r="C17" s="23"/>
      <c r="D17" s="42"/>
      <c r="E17" s="44">
        <v>10.6</v>
      </c>
      <c r="F17" s="44">
        <v>119.0</v>
      </c>
      <c r="G17" s="42"/>
      <c r="H17" s="42"/>
      <c r="I17" s="44">
        <v>1.81</v>
      </c>
      <c r="J17" s="44">
        <v>89.0</v>
      </c>
      <c r="M17" s="44">
        <v>14.0</v>
      </c>
      <c r="N17" s="44">
        <v>85.0</v>
      </c>
      <c r="Q17" s="23"/>
      <c r="R17" s="23"/>
    </row>
    <row r="18" ht="12.75" customHeight="1">
      <c r="A18" s="45">
        <v>0.23055555555555557</v>
      </c>
      <c r="B18" s="44">
        <v>142.0</v>
      </c>
      <c r="C18" s="23"/>
      <c r="D18" s="42"/>
      <c r="E18" s="44">
        <v>10.5</v>
      </c>
      <c r="F18" s="44">
        <v>125.0</v>
      </c>
      <c r="G18" s="42"/>
      <c r="H18" s="42"/>
      <c r="I18" s="44">
        <v>1.85</v>
      </c>
      <c r="J18" s="44">
        <v>95.0</v>
      </c>
      <c r="M18" s="44">
        <v>14.5</v>
      </c>
      <c r="N18" s="44">
        <v>91.0</v>
      </c>
      <c r="Q18" s="23"/>
      <c r="R18" s="23"/>
    </row>
    <row r="19" ht="12.75" customHeight="1">
      <c r="A19" s="45">
        <v>0.22777777777777777</v>
      </c>
      <c r="B19" s="44">
        <v>148.0</v>
      </c>
      <c r="C19" s="23"/>
      <c r="D19" s="42"/>
      <c r="E19" s="44">
        <v>10.4</v>
      </c>
      <c r="F19" s="44">
        <v>131.0</v>
      </c>
      <c r="G19" s="42"/>
      <c r="H19" s="42"/>
      <c r="I19" s="44">
        <v>1.89</v>
      </c>
      <c r="J19" s="44">
        <v>102.0</v>
      </c>
      <c r="M19" s="44">
        <v>15.0</v>
      </c>
      <c r="N19" s="44">
        <v>97.0</v>
      </c>
      <c r="Q19" s="23"/>
      <c r="R19" s="23"/>
    </row>
    <row r="20" ht="12.75" customHeight="1">
      <c r="A20" s="45">
        <v>0.225</v>
      </c>
      <c r="B20" s="44">
        <v>154.0</v>
      </c>
      <c r="C20" s="23"/>
      <c r="D20" s="42"/>
      <c r="E20" s="44">
        <v>10.3</v>
      </c>
      <c r="F20" s="44">
        <v>138.0</v>
      </c>
      <c r="G20" s="42"/>
      <c r="H20" s="42"/>
      <c r="I20" s="44">
        <v>1.93</v>
      </c>
      <c r="J20" s="44">
        <v>109.0</v>
      </c>
      <c r="M20" s="44">
        <v>15.5</v>
      </c>
      <c r="N20" s="44">
        <v>103.0</v>
      </c>
      <c r="Q20" s="23"/>
      <c r="R20" s="23"/>
    </row>
    <row r="21" ht="12.75" customHeight="1">
      <c r="A21" s="45">
        <v>0.2222222222222222</v>
      </c>
      <c r="B21" s="44">
        <v>161.0</v>
      </c>
      <c r="C21" s="23"/>
      <c r="D21" s="42"/>
      <c r="E21" s="44">
        <v>10.2</v>
      </c>
      <c r="F21" s="44">
        <v>144.0</v>
      </c>
      <c r="G21" s="42"/>
      <c r="H21" s="42"/>
      <c r="I21" s="44">
        <v>1.97</v>
      </c>
      <c r="J21" s="44">
        <v>115.0</v>
      </c>
      <c r="M21" s="44">
        <v>16.0</v>
      </c>
      <c r="N21" s="44">
        <v>109.0</v>
      </c>
      <c r="Q21" s="23"/>
      <c r="R21" s="23"/>
    </row>
    <row r="22" ht="12.75" customHeight="1">
      <c r="A22" s="45">
        <v>0.21944444444444444</v>
      </c>
      <c r="B22" s="44">
        <v>167.0</v>
      </c>
      <c r="C22" s="23"/>
      <c r="D22" s="42"/>
      <c r="E22" s="44">
        <v>10.1</v>
      </c>
      <c r="F22" s="44">
        <v>151.0</v>
      </c>
      <c r="G22" s="42"/>
      <c r="H22" s="42"/>
      <c r="I22" s="44">
        <v>2.01</v>
      </c>
      <c r="J22" s="44">
        <v>122.0</v>
      </c>
      <c r="M22" s="44">
        <v>16.5</v>
      </c>
      <c r="N22" s="44">
        <v>114.0</v>
      </c>
      <c r="Q22" s="23"/>
      <c r="R22" s="23"/>
    </row>
    <row r="23" ht="12.75" customHeight="1">
      <c r="A23" s="45">
        <v>0.21666666666666667</v>
      </c>
      <c r="B23" s="44">
        <v>174.0</v>
      </c>
      <c r="C23" s="23"/>
      <c r="D23" s="42"/>
      <c r="E23" s="44">
        <v>10.0</v>
      </c>
      <c r="F23" s="44">
        <v>158.0</v>
      </c>
      <c r="G23" s="42"/>
      <c r="H23" s="42"/>
      <c r="I23" s="44">
        <v>2.05</v>
      </c>
      <c r="J23" s="44">
        <v>128.0</v>
      </c>
      <c r="M23" s="44">
        <v>17.0</v>
      </c>
      <c r="N23" s="44">
        <v>120.0</v>
      </c>
      <c r="Q23" s="23"/>
      <c r="R23" s="23"/>
    </row>
    <row r="24" ht="12.75" customHeight="1">
      <c r="A24" s="45">
        <v>0.21458333333333332</v>
      </c>
      <c r="B24" s="44">
        <v>179.0</v>
      </c>
      <c r="C24" s="23"/>
      <c r="D24" s="42"/>
      <c r="E24" s="44">
        <v>9.9</v>
      </c>
      <c r="F24" s="44">
        <v>165.0</v>
      </c>
      <c r="G24" s="42"/>
      <c r="H24" s="42"/>
      <c r="I24" s="44">
        <v>2.09</v>
      </c>
      <c r="J24" s="44">
        <v>134.0</v>
      </c>
      <c r="M24" s="44">
        <v>17.5</v>
      </c>
      <c r="N24" s="44">
        <v>125.0</v>
      </c>
      <c r="Q24" s="23"/>
      <c r="R24" s="23"/>
    </row>
    <row r="25" ht="12.75" customHeight="1">
      <c r="A25" s="45">
        <v>0.2125</v>
      </c>
      <c r="B25" s="44">
        <v>184.0</v>
      </c>
      <c r="C25" s="23"/>
      <c r="D25" s="42"/>
      <c r="E25" s="44">
        <v>9.8</v>
      </c>
      <c r="F25" s="44">
        <v>172.0</v>
      </c>
      <c r="G25" s="42"/>
      <c r="H25" s="42"/>
      <c r="I25" s="44">
        <v>2.13</v>
      </c>
      <c r="J25" s="44">
        <v>141.0</v>
      </c>
      <c r="M25" s="44">
        <v>18.0</v>
      </c>
      <c r="N25" s="44">
        <v>131.0</v>
      </c>
      <c r="Q25" s="23"/>
      <c r="R25" s="23"/>
    </row>
    <row r="26" ht="12.75" customHeight="1">
      <c r="A26" s="45">
        <v>0.21041666666666667</v>
      </c>
      <c r="B26" s="44">
        <v>190.0</v>
      </c>
      <c r="C26" s="23"/>
      <c r="D26" s="42"/>
      <c r="E26" s="44">
        <v>9.7</v>
      </c>
      <c r="F26" s="44">
        <v>179.0</v>
      </c>
      <c r="G26" s="42"/>
      <c r="H26" s="42"/>
      <c r="I26" s="44">
        <v>2.17</v>
      </c>
      <c r="J26" s="44">
        <v>147.0</v>
      </c>
      <c r="M26" s="44">
        <v>18.5</v>
      </c>
      <c r="N26" s="44">
        <v>136.0</v>
      </c>
      <c r="Q26" s="23"/>
      <c r="R26" s="23"/>
    </row>
    <row r="27" ht="12.75" customHeight="1">
      <c r="A27" s="45">
        <v>0.20833333333333334</v>
      </c>
      <c r="B27" s="44">
        <v>195.0</v>
      </c>
      <c r="C27" s="23"/>
      <c r="D27" s="42"/>
      <c r="E27" s="44">
        <v>9.6</v>
      </c>
      <c r="F27" s="44">
        <v>187.0</v>
      </c>
      <c r="G27" s="42"/>
      <c r="H27" s="42"/>
      <c r="I27" s="44">
        <v>2.21</v>
      </c>
      <c r="J27" s="44">
        <v>153.0</v>
      </c>
      <c r="M27" s="44">
        <v>19.0</v>
      </c>
      <c r="N27" s="44">
        <v>141.0</v>
      </c>
      <c r="Q27" s="23"/>
      <c r="R27" s="23"/>
    </row>
    <row r="28" ht="12.75" customHeight="1">
      <c r="A28" s="45">
        <v>0.20625</v>
      </c>
      <c r="B28" s="44">
        <v>201.0</v>
      </c>
      <c r="C28" s="23"/>
      <c r="D28" s="42"/>
      <c r="E28" s="44">
        <v>9.5</v>
      </c>
      <c r="F28" s="44">
        <v>194.0</v>
      </c>
      <c r="G28" s="42"/>
      <c r="H28" s="42"/>
      <c r="I28" s="44">
        <v>2.25</v>
      </c>
      <c r="J28" s="44">
        <v>159.0</v>
      </c>
      <c r="M28" s="44">
        <v>19.5</v>
      </c>
      <c r="N28" s="44">
        <v>146.0</v>
      </c>
      <c r="Q28" s="23"/>
      <c r="R28" s="23"/>
    </row>
    <row r="29" ht="12.75" customHeight="1">
      <c r="A29" s="45">
        <v>0.20416666666666666</v>
      </c>
      <c r="B29" s="44">
        <v>207.0</v>
      </c>
      <c r="C29" s="23"/>
      <c r="D29" s="42"/>
      <c r="E29" s="44">
        <v>9.4</v>
      </c>
      <c r="F29" s="44">
        <v>202.0</v>
      </c>
      <c r="G29" s="42"/>
      <c r="H29" s="42"/>
      <c r="I29" s="44">
        <v>2.29</v>
      </c>
      <c r="J29" s="44">
        <v>165.0</v>
      </c>
      <c r="M29" s="44">
        <v>20.0</v>
      </c>
      <c r="N29" s="44">
        <v>152.0</v>
      </c>
      <c r="Q29" s="23"/>
      <c r="R29" s="23"/>
    </row>
    <row r="30" ht="12.75" customHeight="1">
      <c r="A30" s="45">
        <v>0.20208333333333334</v>
      </c>
      <c r="B30" s="44">
        <v>213.0</v>
      </c>
      <c r="C30" s="23"/>
      <c r="D30" s="42"/>
      <c r="E30" s="44">
        <v>9.3</v>
      </c>
      <c r="F30" s="44">
        <v>210.0</v>
      </c>
      <c r="G30" s="42"/>
      <c r="H30" s="42"/>
      <c r="I30" s="44">
        <v>2.33</v>
      </c>
      <c r="J30" s="44">
        <v>171.0</v>
      </c>
      <c r="M30" s="44">
        <v>20.5</v>
      </c>
      <c r="N30" s="44">
        <v>157.0</v>
      </c>
      <c r="Q30" s="23"/>
      <c r="R30" s="23"/>
    </row>
    <row r="31" ht="12.75" customHeight="1">
      <c r="A31" s="45">
        <v>0.2</v>
      </c>
      <c r="B31" s="44">
        <v>219.0</v>
      </c>
      <c r="C31" s="23"/>
      <c r="D31" s="42"/>
      <c r="E31" s="44">
        <v>9.2</v>
      </c>
      <c r="F31" s="44">
        <v>218.0</v>
      </c>
      <c r="G31" s="42"/>
      <c r="H31" s="42"/>
      <c r="I31" s="44">
        <v>2.37</v>
      </c>
      <c r="J31" s="44">
        <v>177.0</v>
      </c>
      <c r="M31" s="44">
        <v>21.0</v>
      </c>
      <c r="N31" s="44">
        <v>162.0</v>
      </c>
      <c r="Q31" s="23"/>
      <c r="R31" s="23"/>
    </row>
    <row r="32" ht="12.75" customHeight="1">
      <c r="A32" s="45">
        <v>0.19791666666666666</v>
      </c>
      <c r="B32" s="44">
        <v>225.0</v>
      </c>
      <c r="C32" s="23"/>
      <c r="D32" s="42"/>
      <c r="E32" s="44">
        <v>9.1</v>
      </c>
      <c r="F32" s="44">
        <v>226.0</v>
      </c>
      <c r="G32" s="42"/>
      <c r="H32" s="42"/>
      <c r="I32" s="44">
        <v>2.41</v>
      </c>
      <c r="J32" s="44">
        <v>183.0</v>
      </c>
      <c r="M32" s="44">
        <v>21.5</v>
      </c>
      <c r="N32" s="44">
        <v>166.0</v>
      </c>
      <c r="Q32" s="23"/>
      <c r="R32" s="23"/>
    </row>
    <row r="33" ht="12.75" customHeight="1">
      <c r="A33" s="45">
        <v>0.19583333333333333</v>
      </c>
      <c r="B33" s="44">
        <v>231.0</v>
      </c>
      <c r="C33" s="23"/>
      <c r="D33" s="42"/>
      <c r="E33" s="44">
        <v>9.0</v>
      </c>
      <c r="F33" s="44">
        <v>234.0</v>
      </c>
      <c r="G33" s="42"/>
      <c r="H33" s="42"/>
      <c r="I33" s="44">
        <v>2.45</v>
      </c>
      <c r="J33" s="44">
        <v>189.0</v>
      </c>
      <c r="M33" s="44">
        <v>22.0</v>
      </c>
      <c r="N33" s="44">
        <v>171.0</v>
      </c>
      <c r="Q33" s="23"/>
      <c r="R33" s="23"/>
    </row>
    <row r="34" ht="12.75" customHeight="1">
      <c r="A34" s="45">
        <v>0.19444444444444445</v>
      </c>
      <c r="B34" s="44">
        <v>235.0</v>
      </c>
      <c r="C34" s="23"/>
      <c r="D34" s="42"/>
      <c r="E34" s="44">
        <v>8.9</v>
      </c>
      <c r="F34" s="44">
        <v>243.0</v>
      </c>
      <c r="G34" s="42"/>
      <c r="H34" s="42"/>
      <c r="I34" s="44">
        <v>2.49</v>
      </c>
      <c r="J34" s="44">
        <v>195.0</v>
      </c>
      <c r="M34" s="44">
        <v>22.5</v>
      </c>
      <c r="N34" s="44">
        <v>176.0</v>
      </c>
      <c r="Q34" s="23"/>
      <c r="R34" s="23"/>
    </row>
    <row r="35" ht="12.75" customHeight="1">
      <c r="A35" s="45">
        <v>0.19305555555555556</v>
      </c>
      <c r="B35" s="44">
        <v>239.0</v>
      </c>
      <c r="C35" s="23"/>
      <c r="D35" s="42"/>
      <c r="E35" s="44">
        <v>8.8</v>
      </c>
      <c r="F35" s="44">
        <v>252.0</v>
      </c>
      <c r="G35" s="42"/>
      <c r="H35" s="42"/>
      <c r="I35" s="44">
        <v>2.53</v>
      </c>
      <c r="J35" s="44">
        <v>201.0</v>
      </c>
      <c r="M35" s="44">
        <v>23.0</v>
      </c>
      <c r="N35" s="44">
        <v>181.0</v>
      </c>
      <c r="Q35" s="23"/>
      <c r="R35" s="23"/>
    </row>
    <row r="36" ht="12.75" customHeight="1">
      <c r="A36" s="45">
        <v>0.19166666666666668</v>
      </c>
      <c r="B36" s="44">
        <v>244.0</v>
      </c>
      <c r="C36" s="23"/>
      <c r="D36" s="42"/>
      <c r="E36" s="44">
        <v>8.7</v>
      </c>
      <c r="F36" s="44">
        <v>261.0</v>
      </c>
      <c r="G36" s="42"/>
      <c r="H36" s="42"/>
      <c r="I36" s="44">
        <v>2.57</v>
      </c>
      <c r="J36" s="44">
        <v>206.0</v>
      </c>
      <c r="M36" s="44">
        <v>23.5</v>
      </c>
      <c r="N36" s="44">
        <v>186.0</v>
      </c>
      <c r="Q36" s="23"/>
      <c r="R36" s="23"/>
    </row>
    <row r="37" ht="12.75" customHeight="1">
      <c r="A37" s="45">
        <v>0.19027777777777777</v>
      </c>
      <c r="B37" s="44">
        <v>248.0</v>
      </c>
      <c r="C37" s="23"/>
      <c r="D37" s="42"/>
      <c r="E37" s="44">
        <v>8.6</v>
      </c>
      <c r="F37" s="44">
        <v>270.0</v>
      </c>
      <c r="G37" s="42"/>
      <c r="H37" s="42"/>
      <c r="I37" s="44">
        <v>2.61</v>
      </c>
      <c r="J37" s="44">
        <v>212.0</v>
      </c>
      <c r="M37" s="44">
        <v>24.0</v>
      </c>
      <c r="N37" s="44">
        <v>190.0</v>
      </c>
      <c r="Q37" s="23"/>
      <c r="R37" s="23"/>
    </row>
    <row r="38" ht="12.75" customHeight="1">
      <c r="A38" s="45">
        <v>0.18888888888888888</v>
      </c>
      <c r="B38" s="44">
        <v>253.0</v>
      </c>
      <c r="C38" s="23"/>
      <c r="D38" s="42"/>
      <c r="E38" s="44">
        <v>8.5</v>
      </c>
      <c r="F38" s="44">
        <v>279.0</v>
      </c>
      <c r="G38" s="42"/>
      <c r="H38" s="42"/>
      <c r="I38" s="44">
        <v>2.65</v>
      </c>
      <c r="J38" s="44">
        <v>218.0</v>
      </c>
      <c r="M38" s="44">
        <v>24.5</v>
      </c>
      <c r="N38" s="44">
        <v>195.0</v>
      </c>
      <c r="Q38" s="23"/>
      <c r="R38" s="23"/>
    </row>
    <row r="39" ht="12.75" customHeight="1">
      <c r="A39" s="45">
        <v>0.1875</v>
      </c>
      <c r="B39" s="44">
        <v>257.0</v>
      </c>
      <c r="C39" s="23"/>
      <c r="D39" s="42"/>
      <c r="E39" s="44">
        <v>8.4</v>
      </c>
      <c r="F39" s="44">
        <v>289.0</v>
      </c>
      <c r="G39" s="42"/>
      <c r="H39" s="42"/>
      <c r="I39" s="44">
        <v>2.69</v>
      </c>
      <c r="J39" s="44">
        <v>223.0</v>
      </c>
      <c r="M39" s="44">
        <v>25.0</v>
      </c>
      <c r="N39" s="44">
        <v>200.0</v>
      </c>
      <c r="Q39" s="23"/>
      <c r="R39" s="23"/>
    </row>
    <row r="40" ht="12.75" customHeight="1">
      <c r="A40" s="45">
        <v>0.18611111111111112</v>
      </c>
      <c r="B40" s="44">
        <v>262.0</v>
      </c>
      <c r="C40" s="23"/>
      <c r="D40" s="42"/>
      <c r="E40" s="44">
        <v>8.3</v>
      </c>
      <c r="F40" s="44">
        <v>299.0</v>
      </c>
      <c r="G40" s="42"/>
      <c r="H40" s="42"/>
      <c r="I40" s="44">
        <v>2.73</v>
      </c>
      <c r="J40" s="44">
        <v>229.0</v>
      </c>
      <c r="M40" s="44">
        <v>25.5</v>
      </c>
      <c r="N40" s="44">
        <v>204.0</v>
      </c>
      <c r="Q40" s="23"/>
      <c r="R40" s="23"/>
    </row>
    <row r="41" ht="12.75" customHeight="1">
      <c r="A41" s="45">
        <v>0.18472222222222223</v>
      </c>
      <c r="B41" s="44">
        <v>266.0</v>
      </c>
      <c r="C41" s="23"/>
      <c r="D41" s="42"/>
      <c r="E41" s="44">
        <v>8.2</v>
      </c>
      <c r="F41" s="44">
        <v>309.0</v>
      </c>
      <c r="G41" s="42"/>
      <c r="H41" s="42"/>
      <c r="I41" s="44">
        <v>2.77</v>
      </c>
      <c r="J41" s="44">
        <v>234.0</v>
      </c>
      <c r="M41" s="44">
        <v>26.0</v>
      </c>
      <c r="N41" s="44">
        <v>209.0</v>
      </c>
      <c r="Q41" s="23"/>
      <c r="R41" s="23"/>
    </row>
    <row r="42" ht="12.75" customHeight="1">
      <c r="A42" s="45">
        <v>0.18333333333333332</v>
      </c>
      <c r="B42" s="44">
        <v>271.0</v>
      </c>
      <c r="C42" s="23"/>
      <c r="D42" s="42"/>
      <c r="E42" s="44">
        <v>8.1</v>
      </c>
      <c r="F42" s="44">
        <v>319.0</v>
      </c>
      <c r="G42" s="42"/>
      <c r="H42" s="42"/>
      <c r="I42" s="44">
        <v>2.81</v>
      </c>
      <c r="J42" s="44">
        <v>240.0</v>
      </c>
      <c r="M42" s="44">
        <v>26.5</v>
      </c>
      <c r="N42" s="44">
        <v>213.0</v>
      </c>
      <c r="Q42" s="23"/>
      <c r="R42" s="23"/>
    </row>
    <row r="43" ht="12.75" customHeight="1">
      <c r="A43" s="45">
        <v>0.18194444444444444</v>
      </c>
      <c r="B43" s="44">
        <v>276.0</v>
      </c>
      <c r="C43" s="23"/>
      <c r="D43" s="42"/>
      <c r="E43" s="44">
        <v>8.0</v>
      </c>
      <c r="F43" s="44">
        <v>330.0</v>
      </c>
      <c r="G43" s="42"/>
      <c r="H43" s="42"/>
      <c r="I43" s="44">
        <v>2.85</v>
      </c>
      <c r="J43" s="44">
        <v>245.0</v>
      </c>
      <c r="M43" s="44">
        <v>27.0</v>
      </c>
      <c r="N43" s="44">
        <v>217.0</v>
      </c>
      <c r="Q43" s="23"/>
      <c r="R43" s="23"/>
    </row>
    <row r="44" ht="12.75" customHeight="1">
      <c r="A44" s="45">
        <v>0.18055555555555555</v>
      </c>
      <c r="B44" s="44">
        <v>281.0</v>
      </c>
      <c r="C44" s="23"/>
      <c r="D44" s="42"/>
      <c r="E44" s="44">
        <v>7.9</v>
      </c>
      <c r="F44" s="44">
        <v>340.0</v>
      </c>
      <c r="G44" s="42"/>
      <c r="H44" s="42"/>
      <c r="I44" s="44">
        <v>2.89</v>
      </c>
      <c r="J44" s="44">
        <v>251.0</v>
      </c>
      <c r="M44" s="44">
        <v>27.5</v>
      </c>
      <c r="N44" s="44">
        <v>222.0</v>
      </c>
      <c r="Q44" s="23"/>
      <c r="R44" s="23"/>
    </row>
    <row r="45" ht="12.75" customHeight="1">
      <c r="A45" s="45">
        <v>0.17916666666666667</v>
      </c>
      <c r="B45" s="44">
        <v>286.0</v>
      </c>
      <c r="C45" s="23"/>
      <c r="D45" s="42"/>
      <c r="E45" s="44">
        <v>7.8</v>
      </c>
      <c r="F45" s="44">
        <v>352.0</v>
      </c>
      <c r="G45" s="42"/>
      <c r="H45" s="42"/>
      <c r="I45" s="44">
        <v>2.93</v>
      </c>
      <c r="J45" s="44">
        <v>256.0</v>
      </c>
      <c r="M45" s="44">
        <v>28.0</v>
      </c>
      <c r="N45" s="44">
        <v>226.0</v>
      </c>
      <c r="Q45" s="23"/>
      <c r="R45" s="23"/>
    </row>
    <row r="46" ht="12.75" customHeight="1">
      <c r="A46" s="45">
        <v>0.17777777777777778</v>
      </c>
      <c r="B46" s="44">
        <v>291.0</v>
      </c>
      <c r="C46" s="23"/>
      <c r="D46" s="42"/>
      <c r="E46" s="44">
        <v>7.7</v>
      </c>
      <c r="F46" s="44">
        <v>363.0</v>
      </c>
      <c r="G46" s="42"/>
      <c r="H46" s="42"/>
      <c r="I46" s="44">
        <v>2.97</v>
      </c>
      <c r="J46" s="44">
        <v>261.0</v>
      </c>
      <c r="M46" s="44">
        <v>28.5</v>
      </c>
      <c r="N46" s="44">
        <v>230.0</v>
      </c>
      <c r="Q46" s="23"/>
      <c r="R46" s="23"/>
    </row>
    <row r="47" ht="12.75" customHeight="1">
      <c r="A47" s="45">
        <v>0.1763888888888889</v>
      </c>
      <c r="B47" s="44">
        <v>296.0</v>
      </c>
      <c r="C47" s="23"/>
      <c r="D47" s="42"/>
      <c r="E47" s="44">
        <v>7.6</v>
      </c>
      <c r="F47" s="44">
        <v>375.0</v>
      </c>
      <c r="G47" s="42"/>
      <c r="H47" s="42"/>
      <c r="I47" s="44">
        <v>3.01</v>
      </c>
      <c r="J47" s="44">
        <v>266.0</v>
      </c>
      <c r="M47" s="44">
        <v>29.0</v>
      </c>
      <c r="N47" s="44">
        <v>235.0</v>
      </c>
      <c r="Q47" s="23"/>
      <c r="R47" s="23"/>
    </row>
    <row r="48" ht="12.75" customHeight="1">
      <c r="A48" s="45">
        <v>0.175</v>
      </c>
      <c r="B48" s="44">
        <v>301.0</v>
      </c>
      <c r="C48" s="23"/>
      <c r="D48" s="42"/>
      <c r="E48" s="44">
        <v>7.5</v>
      </c>
      <c r="F48" s="44">
        <v>386.0</v>
      </c>
      <c r="G48" s="42"/>
      <c r="H48" s="42"/>
      <c r="I48" s="44">
        <v>3.05</v>
      </c>
      <c r="J48" s="44">
        <v>272.0</v>
      </c>
      <c r="M48" s="44">
        <v>29.5</v>
      </c>
      <c r="N48" s="44">
        <v>239.0</v>
      </c>
      <c r="Q48" s="23"/>
      <c r="R48" s="23"/>
    </row>
    <row r="49" ht="12.75" customHeight="1">
      <c r="A49" s="45">
        <v>0.1736111111111111</v>
      </c>
      <c r="B49" s="44">
        <v>307.0</v>
      </c>
      <c r="C49" s="23"/>
      <c r="D49" s="42"/>
      <c r="E49" s="44">
        <v>7.4</v>
      </c>
      <c r="F49" s="44">
        <v>399.0</v>
      </c>
      <c r="G49" s="42"/>
      <c r="H49" s="42"/>
      <c r="I49" s="44">
        <v>3.09</v>
      </c>
      <c r="J49" s="44">
        <v>277.0</v>
      </c>
      <c r="M49" s="44">
        <v>30.0</v>
      </c>
      <c r="N49" s="44">
        <v>243.0</v>
      </c>
      <c r="Q49" s="23"/>
      <c r="R49" s="23"/>
    </row>
    <row r="50" ht="12.75" customHeight="1">
      <c r="A50" s="45">
        <v>0.17222222222222222</v>
      </c>
      <c r="B50" s="44">
        <v>312.0</v>
      </c>
      <c r="C50" s="23"/>
      <c r="D50" s="42"/>
      <c r="E50" s="44">
        <v>7.3</v>
      </c>
      <c r="F50" s="44">
        <v>411.0</v>
      </c>
      <c r="G50" s="42"/>
      <c r="H50" s="42"/>
      <c r="I50" s="44">
        <v>3.13</v>
      </c>
      <c r="J50" s="44">
        <v>282.0</v>
      </c>
      <c r="M50" s="44">
        <v>30.5</v>
      </c>
      <c r="N50" s="44">
        <v>247.0</v>
      </c>
      <c r="Q50" s="23"/>
      <c r="R50" s="23"/>
    </row>
    <row r="51" ht="12.75" customHeight="1">
      <c r="A51" s="45">
        <v>0.17083333333333334</v>
      </c>
      <c r="B51" s="44">
        <v>317.0</v>
      </c>
      <c r="C51" s="23"/>
      <c r="D51" s="42"/>
      <c r="E51" s="44">
        <v>7.2</v>
      </c>
      <c r="F51" s="44">
        <v>424.0</v>
      </c>
      <c r="G51" s="42"/>
      <c r="H51" s="42"/>
      <c r="I51" s="44">
        <v>3.17</v>
      </c>
      <c r="J51" s="44">
        <v>287.0</v>
      </c>
      <c r="M51" s="44">
        <v>31.0</v>
      </c>
      <c r="N51" s="44">
        <v>251.0</v>
      </c>
      <c r="Q51" s="23"/>
      <c r="R51" s="23"/>
    </row>
    <row r="52" ht="12.75" customHeight="1">
      <c r="A52" s="45">
        <v>0.16944444444444445</v>
      </c>
      <c r="B52" s="44">
        <v>323.0</v>
      </c>
      <c r="C52" s="23"/>
      <c r="D52" s="42"/>
      <c r="E52" s="44">
        <v>7.1</v>
      </c>
      <c r="F52" s="44">
        <v>437.0</v>
      </c>
      <c r="G52" s="42"/>
      <c r="H52" s="42"/>
      <c r="I52" s="44">
        <v>3.21</v>
      </c>
      <c r="J52" s="44">
        <v>292.0</v>
      </c>
      <c r="M52" s="44">
        <v>31.5</v>
      </c>
      <c r="N52" s="44">
        <v>255.0</v>
      </c>
    </row>
    <row r="53" ht="12.75" customHeight="1">
      <c r="A53" s="45">
        <v>0.16805555555555557</v>
      </c>
      <c r="B53" s="44">
        <v>329.0</v>
      </c>
      <c r="C53" s="23"/>
      <c r="D53" s="42"/>
      <c r="E53" s="44">
        <v>7.0</v>
      </c>
      <c r="F53" s="44">
        <v>451.0</v>
      </c>
      <c r="G53" s="42"/>
      <c r="H53" s="42"/>
      <c r="I53" s="44">
        <v>3.25</v>
      </c>
      <c r="J53" s="44">
        <v>297.0</v>
      </c>
      <c r="M53" s="44">
        <v>32.0</v>
      </c>
      <c r="N53" s="44">
        <v>259.0</v>
      </c>
    </row>
    <row r="54" ht="12.75" customHeight="1">
      <c r="A54" s="45">
        <v>0.16666666666666666</v>
      </c>
      <c r="B54" s="44">
        <v>334.0</v>
      </c>
      <c r="C54" s="23"/>
      <c r="D54" s="42"/>
      <c r="E54" s="44"/>
      <c r="F54" s="44"/>
      <c r="G54" s="42"/>
      <c r="H54" s="42"/>
      <c r="I54" s="44">
        <v>3.29</v>
      </c>
      <c r="J54" s="44">
        <v>302.0</v>
      </c>
      <c r="M54" s="44">
        <v>32.5</v>
      </c>
      <c r="N54" s="44">
        <v>263.0</v>
      </c>
    </row>
    <row r="55" ht="12.75" customHeight="1">
      <c r="A55" s="45">
        <v>0.16527777777777777</v>
      </c>
      <c r="B55" s="44">
        <v>340.0</v>
      </c>
      <c r="C55" s="23"/>
      <c r="D55" s="42"/>
      <c r="E55" s="44"/>
      <c r="F55" s="44"/>
      <c r="G55" s="42"/>
      <c r="H55" s="42"/>
      <c r="I55" s="44">
        <v>3.33</v>
      </c>
      <c r="J55" s="44">
        <v>308.0</v>
      </c>
      <c r="M55" s="44">
        <v>33.0</v>
      </c>
      <c r="N55" s="44">
        <v>267.0</v>
      </c>
    </row>
    <row r="56" ht="12.75" customHeight="1">
      <c r="A56" s="45">
        <v>0.1638888888888889</v>
      </c>
      <c r="B56" s="44">
        <v>346.0</v>
      </c>
      <c r="C56" s="23"/>
      <c r="D56" s="42"/>
      <c r="E56" s="44"/>
      <c r="F56" s="44"/>
      <c r="G56" s="42"/>
      <c r="H56" s="42"/>
      <c r="I56" s="44">
        <v>3.37</v>
      </c>
      <c r="J56" s="44">
        <v>313.0</v>
      </c>
      <c r="M56" s="44">
        <v>33.5</v>
      </c>
      <c r="N56" s="44">
        <v>271.0</v>
      </c>
    </row>
    <row r="57" ht="12.75" customHeight="1">
      <c r="A57" s="45">
        <v>0.1625</v>
      </c>
      <c r="B57" s="44">
        <v>352.0</v>
      </c>
      <c r="C57" s="23"/>
      <c r="D57" s="42"/>
      <c r="E57" s="44"/>
      <c r="F57" s="44"/>
      <c r="G57" s="42"/>
      <c r="H57" s="42"/>
      <c r="I57" s="44">
        <v>3.41</v>
      </c>
      <c r="J57" s="44">
        <v>317.0</v>
      </c>
      <c r="M57" s="44">
        <v>34.0</v>
      </c>
      <c r="N57" s="44">
        <v>275.0</v>
      </c>
    </row>
    <row r="58" ht="12.75" customHeight="1">
      <c r="A58" s="45">
        <v>0.16111111111111112</v>
      </c>
      <c r="B58" s="44">
        <v>358.0</v>
      </c>
      <c r="C58" s="23"/>
      <c r="D58" s="42"/>
      <c r="E58" s="44"/>
      <c r="F58" s="44"/>
      <c r="G58" s="42"/>
      <c r="H58" s="42"/>
      <c r="I58" s="44">
        <v>3.45</v>
      </c>
      <c r="J58" s="44">
        <v>322.0</v>
      </c>
      <c r="M58" s="44">
        <v>34.5</v>
      </c>
      <c r="N58" s="44">
        <v>279.0</v>
      </c>
    </row>
    <row r="59" ht="12.75" customHeight="1">
      <c r="A59" s="45">
        <v>0.1597222222222222</v>
      </c>
      <c r="B59" s="44">
        <v>364.0</v>
      </c>
      <c r="C59" s="23"/>
      <c r="D59" s="42"/>
      <c r="E59" s="44"/>
      <c r="F59" s="44"/>
      <c r="G59" s="42"/>
      <c r="H59" s="42"/>
      <c r="I59" s="44">
        <v>3.49</v>
      </c>
      <c r="J59" s="44">
        <v>327.0</v>
      </c>
      <c r="M59" s="44">
        <v>35.0</v>
      </c>
      <c r="N59" s="44">
        <v>283.0</v>
      </c>
    </row>
    <row r="60" ht="12.75" customHeight="1">
      <c r="A60" s="45">
        <v>0.15833333333333333</v>
      </c>
      <c r="B60" s="44">
        <v>371.0</v>
      </c>
      <c r="C60" s="23"/>
      <c r="D60" s="42"/>
      <c r="E60" s="44"/>
      <c r="F60" s="44"/>
      <c r="G60" s="42"/>
      <c r="H60" s="42"/>
      <c r="I60" s="44">
        <v>3.53</v>
      </c>
      <c r="J60" s="44">
        <v>332.0</v>
      </c>
      <c r="M60" s="44">
        <v>35.5</v>
      </c>
      <c r="N60" s="44">
        <v>287.0</v>
      </c>
    </row>
    <row r="61" ht="12.75" customHeight="1">
      <c r="A61" s="45">
        <v>0.15694444444444444</v>
      </c>
      <c r="B61" s="44">
        <v>377.0</v>
      </c>
      <c r="C61" s="23"/>
      <c r="D61" s="42"/>
      <c r="E61" s="44"/>
      <c r="F61" s="44"/>
      <c r="G61" s="42"/>
      <c r="H61" s="42"/>
      <c r="I61" s="44">
        <v>3.57</v>
      </c>
      <c r="J61" s="44">
        <v>337.0</v>
      </c>
      <c r="M61" s="44">
        <v>36.0</v>
      </c>
      <c r="N61" s="44">
        <v>290.0</v>
      </c>
    </row>
    <row r="62" ht="12.75" customHeight="1">
      <c r="A62" s="45">
        <v>0.15555555555555556</v>
      </c>
      <c r="B62" s="44">
        <v>384.0</v>
      </c>
      <c r="C62" s="23"/>
      <c r="D62" s="42"/>
      <c r="E62" s="44"/>
      <c r="F62" s="44"/>
      <c r="G62" s="42"/>
      <c r="H62" s="42"/>
      <c r="I62" s="44">
        <v>3.61</v>
      </c>
      <c r="J62" s="44">
        <v>342.0</v>
      </c>
      <c r="M62" s="44">
        <v>36.5</v>
      </c>
      <c r="N62" s="44">
        <v>294.0</v>
      </c>
    </row>
    <row r="63" ht="12.75" customHeight="1">
      <c r="A63" s="45">
        <v>0.15416666666666667</v>
      </c>
      <c r="B63" s="44">
        <v>391.0</v>
      </c>
      <c r="C63" s="23"/>
      <c r="D63" s="42"/>
      <c r="E63" s="44"/>
      <c r="F63" s="44"/>
      <c r="G63" s="42"/>
      <c r="H63" s="42"/>
      <c r="I63" s="44">
        <v>3.65</v>
      </c>
      <c r="J63" s="44">
        <v>347.0</v>
      </c>
      <c r="M63" s="44">
        <v>37.0</v>
      </c>
      <c r="N63" s="44">
        <v>298.0</v>
      </c>
    </row>
    <row r="64" ht="12.75" customHeight="1">
      <c r="A64" s="45">
        <v>0.1527777777777778</v>
      </c>
      <c r="B64" s="44">
        <v>397.0</v>
      </c>
      <c r="C64" s="23"/>
      <c r="D64" s="42"/>
      <c r="E64" s="44"/>
      <c r="F64" s="44"/>
      <c r="G64" s="42"/>
      <c r="H64" s="42"/>
      <c r="I64" s="44">
        <v>3.69</v>
      </c>
      <c r="J64" s="44">
        <v>351.0</v>
      </c>
      <c r="M64" s="44">
        <v>37.5</v>
      </c>
      <c r="N64" s="44">
        <v>302.0</v>
      </c>
    </row>
    <row r="65" ht="12.75" customHeight="1">
      <c r="A65" s="45">
        <v>0.15138888888888888</v>
      </c>
      <c r="B65" s="44">
        <v>404.0</v>
      </c>
      <c r="C65" s="23"/>
      <c r="D65" s="42"/>
      <c r="E65" s="44"/>
      <c r="F65" s="44"/>
      <c r="G65" s="42"/>
      <c r="H65" s="42"/>
      <c r="I65" s="44">
        <v>3.73</v>
      </c>
      <c r="J65" s="44">
        <v>356.0</v>
      </c>
      <c r="M65" s="44">
        <v>38.0</v>
      </c>
      <c r="N65" s="44">
        <v>305.0</v>
      </c>
    </row>
    <row r="66" ht="12.75" customHeight="1">
      <c r="A66" s="45">
        <v>0.15</v>
      </c>
      <c r="B66" s="44">
        <v>411.0</v>
      </c>
      <c r="C66" s="23"/>
      <c r="D66" s="42"/>
      <c r="E66" s="44"/>
      <c r="F66" s="44"/>
      <c r="G66" s="42"/>
      <c r="H66" s="42"/>
      <c r="I66" s="44">
        <v>3.77</v>
      </c>
      <c r="J66" s="44">
        <v>361.0</v>
      </c>
      <c r="M66" s="44">
        <v>38.5</v>
      </c>
      <c r="N66" s="44">
        <v>309.0</v>
      </c>
    </row>
    <row r="67" ht="12.75" customHeight="1">
      <c r="A67" s="45">
        <v>0.14930555555555555</v>
      </c>
      <c r="B67" s="44">
        <v>415.0</v>
      </c>
      <c r="C67" s="23"/>
      <c r="D67" s="42"/>
      <c r="E67" s="44"/>
      <c r="F67" s="44"/>
      <c r="G67" s="42"/>
      <c r="H67" s="42"/>
      <c r="I67" s="44">
        <v>3.81</v>
      </c>
      <c r="J67" s="44">
        <v>366.0</v>
      </c>
      <c r="M67" s="44">
        <v>39.0</v>
      </c>
      <c r="N67" s="44">
        <v>313.0</v>
      </c>
    </row>
    <row r="68" ht="12.75" customHeight="1">
      <c r="A68" s="45">
        <v>0.1486111111111111</v>
      </c>
      <c r="B68" s="44">
        <v>419.0</v>
      </c>
      <c r="C68" s="23"/>
      <c r="D68" s="42"/>
      <c r="E68" s="44"/>
      <c r="F68" s="44"/>
      <c r="G68" s="42"/>
      <c r="H68" s="42"/>
      <c r="I68" s="44">
        <v>3.85</v>
      </c>
      <c r="J68" s="44">
        <v>370.0</v>
      </c>
      <c r="M68" s="44">
        <v>39.5</v>
      </c>
      <c r="N68" s="44">
        <v>316.0</v>
      </c>
    </row>
    <row r="69" ht="12.75" customHeight="1">
      <c r="A69" s="45">
        <v>0.14791666666666667</v>
      </c>
      <c r="B69" s="44">
        <v>422.0</v>
      </c>
      <c r="C69" s="23"/>
      <c r="D69" s="42"/>
      <c r="E69" s="44"/>
      <c r="F69" s="44"/>
      <c r="G69" s="42"/>
      <c r="H69" s="42"/>
      <c r="I69" s="44">
        <v>3.89</v>
      </c>
      <c r="J69" s="44">
        <v>375.0</v>
      </c>
      <c r="M69" s="44">
        <v>40.0</v>
      </c>
      <c r="N69" s="44">
        <v>320.0</v>
      </c>
    </row>
    <row r="70" ht="12.75" customHeight="1">
      <c r="A70" s="45">
        <v>0.14722222222222223</v>
      </c>
      <c r="B70" s="44">
        <v>426.0</v>
      </c>
      <c r="C70" s="23"/>
      <c r="D70" s="42"/>
      <c r="E70" s="44"/>
      <c r="F70" s="44"/>
      <c r="G70" s="42"/>
      <c r="H70" s="42"/>
      <c r="I70" s="44">
        <v>3.93</v>
      </c>
      <c r="J70" s="44">
        <v>379.0</v>
      </c>
      <c r="M70" s="44">
        <v>40.5</v>
      </c>
      <c r="N70" s="44">
        <v>323.0</v>
      </c>
    </row>
    <row r="71" ht="12.75" customHeight="1">
      <c r="A71" s="45">
        <v>0.14652777777777778</v>
      </c>
      <c r="B71" s="44">
        <v>430.0</v>
      </c>
      <c r="C71" s="23"/>
      <c r="D71" s="42"/>
      <c r="E71" s="44"/>
      <c r="F71" s="44"/>
      <c r="G71" s="42"/>
      <c r="H71" s="42"/>
      <c r="I71" s="44">
        <v>3.97</v>
      </c>
      <c r="J71" s="44">
        <v>384.0</v>
      </c>
      <c r="M71" s="44">
        <v>41.0</v>
      </c>
      <c r="N71" s="44">
        <v>327.0</v>
      </c>
    </row>
    <row r="72" ht="12.75" customHeight="1">
      <c r="A72" s="45">
        <v>0.14583333333333334</v>
      </c>
      <c r="B72" s="44">
        <v>433.0</v>
      </c>
      <c r="C72" s="23"/>
      <c r="D72" s="42"/>
      <c r="E72" s="44"/>
      <c r="F72" s="44"/>
      <c r="G72" s="42"/>
      <c r="H72" s="42"/>
      <c r="I72" s="44">
        <v>4.01</v>
      </c>
      <c r="J72" s="44">
        <v>389.0</v>
      </c>
      <c r="M72" s="44">
        <v>41.5</v>
      </c>
      <c r="N72" s="44">
        <v>331.0</v>
      </c>
    </row>
    <row r="73" ht="12.75" customHeight="1">
      <c r="A73" s="45">
        <v>0.1451388888888889</v>
      </c>
      <c r="B73" s="44">
        <v>437.0</v>
      </c>
      <c r="C73" s="23"/>
      <c r="D73" s="42"/>
      <c r="E73" s="44"/>
      <c r="F73" s="44"/>
      <c r="G73" s="42"/>
      <c r="H73" s="42"/>
      <c r="I73" s="44">
        <v>4.05</v>
      </c>
      <c r="J73" s="44">
        <v>393.0</v>
      </c>
      <c r="M73" s="44">
        <v>42.0</v>
      </c>
      <c r="N73" s="44">
        <v>334.0</v>
      </c>
    </row>
    <row r="74" ht="12.75" customHeight="1">
      <c r="A74" s="45">
        <v>0.14444444444444443</v>
      </c>
      <c r="B74" s="44">
        <v>441.0</v>
      </c>
      <c r="C74" s="23"/>
      <c r="D74" s="42"/>
      <c r="E74" s="44"/>
      <c r="F74" s="44"/>
      <c r="G74" s="42"/>
      <c r="H74" s="42"/>
      <c r="I74" s="44">
        <v>4.09</v>
      </c>
      <c r="J74" s="44">
        <v>398.0</v>
      </c>
      <c r="M74" s="44">
        <v>42.5</v>
      </c>
      <c r="N74" s="44">
        <v>338.0</v>
      </c>
    </row>
    <row r="75" ht="12.75" customHeight="1">
      <c r="A75" s="45">
        <v>0.14375</v>
      </c>
      <c r="B75" s="44">
        <v>445.0</v>
      </c>
      <c r="C75" s="23"/>
      <c r="D75" s="42"/>
      <c r="E75" s="44"/>
      <c r="F75" s="44"/>
      <c r="G75" s="42"/>
      <c r="H75" s="42"/>
      <c r="I75" s="44">
        <v>4.13</v>
      </c>
      <c r="J75" s="44">
        <v>402.0</v>
      </c>
      <c r="M75" s="44">
        <v>43.0</v>
      </c>
      <c r="N75" s="44">
        <v>341.0</v>
      </c>
    </row>
    <row r="76" ht="12.75" customHeight="1">
      <c r="A76" s="45">
        <v>0.14305555555555555</v>
      </c>
      <c r="B76" s="44">
        <v>449.0</v>
      </c>
      <c r="C76" s="23"/>
      <c r="D76" s="42"/>
      <c r="E76" s="44"/>
      <c r="F76" s="44"/>
      <c r="G76" s="42"/>
      <c r="H76" s="42"/>
      <c r="I76" s="44">
        <v>4.17</v>
      </c>
      <c r="J76" s="44">
        <v>407.0</v>
      </c>
      <c r="M76" s="44">
        <v>43.5</v>
      </c>
      <c r="N76" s="44">
        <v>345.0</v>
      </c>
    </row>
    <row r="77" ht="12.75" customHeight="1">
      <c r="A77" s="45">
        <v>0.1423611111111111</v>
      </c>
      <c r="B77" s="44">
        <v>453.0</v>
      </c>
      <c r="C77" s="23"/>
      <c r="D77" s="42"/>
      <c r="E77" s="44"/>
      <c r="F77" s="44"/>
      <c r="G77" s="42"/>
      <c r="H77" s="42"/>
      <c r="I77" s="44">
        <v>4.21</v>
      </c>
      <c r="J77" s="44">
        <v>411.0</v>
      </c>
      <c r="M77" s="44">
        <v>44.0</v>
      </c>
      <c r="N77" s="44">
        <v>348.0</v>
      </c>
    </row>
    <row r="78" ht="12.75" customHeight="1">
      <c r="A78" s="45">
        <v>0.14166666666666666</v>
      </c>
      <c r="B78" s="44">
        <v>457.0</v>
      </c>
      <c r="C78" s="23"/>
      <c r="D78" s="42"/>
      <c r="E78" s="44"/>
      <c r="F78" s="44"/>
      <c r="G78" s="42"/>
      <c r="H78" s="42"/>
      <c r="I78" s="44">
        <v>4.25</v>
      </c>
      <c r="J78" s="44">
        <v>416.0</v>
      </c>
      <c r="M78" s="44">
        <v>44.5</v>
      </c>
      <c r="N78" s="44">
        <v>351.0</v>
      </c>
    </row>
    <row r="79" ht="12.75" customHeight="1">
      <c r="A79" s="45">
        <v>0.14097222222222222</v>
      </c>
      <c r="B79" s="44">
        <v>461.0</v>
      </c>
      <c r="C79" s="23"/>
      <c r="D79" s="42"/>
      <c r="E79" s="44"/>
      <c r="F79" s="44"/>
      <c r="G79" s="42"/>
      <c r="H79" s="42"/>
      <c r="I79" s="44">
        <v>4.29</v>
      </c>
      <c r="J79" s="44">
        <v>420.0</v>
      </c>
      <c r="M79" s="44">
        <v>45.0</v>
      </c>
      <c r="N79" s="44">
        <v>355.0</v>
      </c>
    </row>
    <row r="80" ht="12.75" customHeight="1">
      <c r="A80" s="45">
        <v>0.14027777777777778</v>
      </c>
      <c r="B80" s="44">
        <v>465.0</v>
      </c>
      <c r="C80" s="23"/>
      <c r="D80" s="42"/>
      <c r="E80" s="44"/>
      <c r="F80" s="44"/>
      <c r="G80" s="42"/>
      <c r="H80" s="42"/>
      <c r="I80" s="44">
        <v>4.33</v>
      </c>
      <c r="J80" s="44">
        <v>424.0</v>
      </c>
      <c r="M80" s="44">
        <v>45.5</v>
      </c>
      <c r="N80" s="44">
        <v>358.0</v>
      </c>
    </row>
    <row r="81" ht="12.75" customHeight="1">
      <c r="A81" s="45">
        <v>0.13958333333333334</v>
      </c>
      <c r="B81" s="44">
        <v>469.0</v>
      </c>
      <c r="C81" s="23"/>
      <c r="D81" s="42"/>
      <c r="E81" s="44"/>
      <c r="F81" s="44"/>
      <c r="G81" s="42"/>
      <c r="H81" s="42"/>
      <c r="I81" s="44">
        <v>4.37</v>
      </c>
      <c r="J81" s="44">
        <v>429.0</v>
      </c>
      <c r="M81" s="44">
        <v>46.0</v>
      </c>
      <c r="N81" s="44">
        <v>362.0</v>
      </c>
    </row>
    <row r="82" ht="12.75" customHeight="1">
      <c r="A82" s="45">
        <v>0.1388888888888889</v>
      </c>
      <c r="B82" s="44">
        <v>473.0</v>
      </c>
      <c r="C82" s="23"/>
      <c r="D82" s="42"/>
      <c r="E82" s="44"/>
      <c r="F82" s="44"/>
      <c r="G82" s="42"/>
      <c r="H82" s="42"/>
      <c r="I82" s="44">
        <v>4.41</v>
      </c>
      <c r="J82" s="44">
        <v>433.0</v>
      </c>
      <c r="M82" s="44">
        <v>46.5</v>
      </c>
      <c r="N82" s="44">
        <v>365.0</v>
      </c>
    </row>
    <row r="83" ht="12.75" customHeight="1">
      <c r="A83" s="45">
        <v>0.13819444444444445</v>
      </c>
      <c r="B83" s="44">
        <v>477.0</v>
      </c>
      <c r="C83" s="23"/>
      <c r="D83" s="42"/>
      <c r="E83" s="44"/>
      <c r="F83" s="44"/>
      <c r="G83" s="42"/>
      <c r="H83" s="42"/>
      <c r="I83" s="44">
        <v>4.45</v>
      </c>
      <c r="J83" s="44">
        <v>438.0</v>
      </c>
      <c r="M83" s="44">
        <v>47.0</v>
      </c>
      <c r="N83" s="44">
        <v>368.0</v>
      </c>
    </row>
    <row r="84" ht="12.75" customHeight="1">
      <c r="A84" s="45">
        <v>0.1375</v>
      </c>
      <c r="B84" s="44">
        <v>482.0</v>
      </c>
      <c r="C84" s="23"/>
      <c r="D84" s="42"/>
      <c r="E84" s="44"/>
      <c r="F84" s="44"/>
      <c r="G84" s="42"/>
      <c r="H84" s="42"/>
      <c r="I84" s="44">
        <v>4.49</v>
      </c>
      <c r="J84" s="44">
        <v>442.0</v>
      </c>
      <c r="M84" s="44">
        <v>47.5</v>
      </c>
      <c r="N84" s="44">
        <v>372.0</v>
      </c>
    </row>
    <row r="85" ht="12.75" customHeight="1">
      <c r="A85" s="45">
        <v>0.13680555555555557</v>
      </c>
      <c r="B85" s="44">
        <v>486.0</v>
      </c>
      <c r="C85" s="23"/>
      <c r="D85" s="42"/>
      <c r="E85" s="44"/>
      <c r="F85" s="44"/>
      <c r="G85" s="42"/>
      <c r="H85" s="42"/>
      <c r="I85" s="44">
        <v>4.53</v>
      </c>
      <c r="J85" s="44">
        <v>446.0</v>
      </c>
      <c r="M85" s="44">
        <v>48.0</v>
      </c>
      <c r="N85" s="44">
        <v>375.0</v>
      </c>
    </row>
    <row r="86" ht="12.75" customHeight="1">
      <c r="A86" s="45">
        <v>0.1361111111111111</v>
      </c>
      <c r="B86" s="44">
        <v>490.0</v>
      </c>
      <c r="C86" s="23"/>
      <c r="D86" s="42"/>
      <c r="E86" s="44"/>
      <c r="F86" s="44"/>
      <c r="G86" s="42"/>
      <c r="H86" s="42"/>
      <c r="I86" s="44">
        <v>4.57</v>
      </c>
      <c r="J86" s="44">
        <v>450.0</v>
      </c>
      <c r="M86" s="44">
        <v>48.5</v>
      </c>
      <c r="N86" s="44">
        <v>378.0</v>
      </c>
    </row>
    <row r="87" ht="12.75" customHeight="1">
      <c r="A87" s="45">
        <v>0.13541666666666666</v>
      </c>
      <c r="B87" s="44">
        <v>495.0</v>
      </c>
      <c r="C87" s="23"/>
      <c r="D87" s="42"/>
      <c r="E87" s="44"/>
      <c r="F87" s="44"/>
      <c r="G87" s="42"/>
      <c r="H87" s="42"/>
      <c r="I87" s="44">
        <v>4.61</v>
      </c>
      <c r="J87" s="44">
        <v>455.0</v>
      </c>
      <c r="M87" s="44">
        <v>49.0</v>
      </c>
      <c r="N87" s="44">
        <v>381.0</v>
      </c>
    </row>
    <row r="88" ht="12.75" customHeight="1">
      <c r="A88" s="45">
        <v>0.13472222222222222</v>
      </c>
      <c r="B88" s="44">
        <v>499.0</v>
      </c>
      <c r="C88" s="23"/>
      <c r="D88" s="42"/>
      <c r="E88" s="44"/>
      <c r="F88" s="44"/>
      <c r="G88" s="42"/>
      <c r="H88" s="42"/>
      <c r="I88" s="44">
        <v>4.65</v>
      </c>
      <c r="J88" s="44">
        <v>459.0</v>
      </c>
      <c r="M88" s="44">
        <v>49.5</v>
      </c>
      <c r="N88" s="44">
        <v>385.0</v>
      </c>
    </row>
    <row r="89" ht="12.75" customHeight="1">
      <c r="A89" s="45">
        <v>0.13402777777777777</v>
      </c>
      <c r="B89" s="44">
        <v>503.0</v>
      </c>
      <c r="C89" s="23"/>
      <c r="D89" s="42"/>
      <c r="E89" s="44"/>
      <c r="F89" s="44"/>
      <c r="G89" s="42"/>
      <c r="H89" s="42"/>
      <c r="I89" s="44">
        <v>4.69</v>
      </c>
      <c r="J89" s="44">
        <v>463.0</v>
      </c>
      <c r="M89" s="44">
        <v>50.0</v>
      </c>
      <c r="N89" s="44">
        <v>388.0</v>
      </c>
    </row>
    <row r="90" ht="12.75" customHeight="1">
      <c r="A90" s="45">
        <v>0.13333333333333333</v>
      </c>
      <c r="B90" s="44">
        <v>508.0</v>
      </c>
      <c r="C90" s="23"/>
      <c r="D90" s="42"/>
      <c r="E90" s="44"/>
      <c r="F90" s="44"/>
      <c r="G90" s="42"/>
      <c r="H90" s="42"/>
      <c r="I90" s="44">
        <v>4.73</v>
      </c>
      <c r="J90" s="44">
        <v>467.0</v>
      </c>
      <c r="M90" s="44">
        <v>50.5</v>
      </c>
      <c r="N90" s="44">
        <v>391.0</v>
      </c>
    </row>
    <row r="91" ht="12.75" customHeight="1">
      <c r="A91" s="45">
        <v>0.1326388888888889</v>
      </c>
      <c r="B91" s="44">
        <v>512.0</v>
      </c>
      <c r="C91" s="23"/>
      <c r="D91" s="42"/>
      <c r="E91" s="44"/>
      <c r="F91" s="44"/>
      <c r="G91" s="42"/>
      <c r="H91" s="42"/>
      <c r="I91" s="44">
        <v>4.77</v>
      </c>
      <c r="J91" s="44">
        <v>472.0</v>
      </c>
      <c r="M91" s="44">
        <v>51.0</v>
      </c>
      <c r="N91" s="44">
        <v>394.0</v>
      </c>
    </row>
    <row r="92" ht="12.75" customHeight="1">
      <c r="A92" s="45">
        <v>0.13194444444444445</v>
      </c>
      <c r="B92" s="44">
        <v>517.0</v>
      </c>
      <c r="C92" s="23"/>
      <c r="D92" s="42"/>
      <c r="E92" s="44"/>
      <c r="F92" s="44"/>
      <c r="G92" s="42"/>
      <c r="H92" s="42"/>
      <c r="I92" s="44">
        <v>4.81</v>
      </c>
      <c r="J92" s="44">
        <v>476.0</v>
      </c>
      <c r="M92" s="44">
        <v>51.5</v>
      </c>
      <c r="N92" s="44">
        <v>397.0</v>
      </c>
    </row>
    <row r="93" ht="12.75" customHeight="1">
      <c r="A93" s="45">
        <v>0.13125</v>
      </c>
      <c r="B93" s="44">
        <v>522.0</v>
      </c>
      <c r="C93" s="23"/>
      <c r="D93" s="42"/>
      <c r="E93" s="44"/>
      <c r="F93" s="44"/>
      <c r="G93" s="42"/>
      <c r="H93" s="42"/>
      <c r="I93" s="44">
        <v>4.85</v>
      </c>
      <c r="J93" s="44">
        <v>480.0</v>
      </c>
      <c r="M93" s="44">
        <v>52.0</v>
      </c>
      <c r="N93" s="44">
        <v>401.0</v>
      </c>
    </row>
    <row r="94" ht="12.75" customHeight="1">
      <c r="A94" s="45">
        <v>0.13055555555555556</v>
      </c>
      <c r="B94" s="44">
        <v>526.0</v>
      </c>
      <c r="C94" s="23"/>
      <c r="D94" s="42"/>
      <c r="E94" s="44"/>
      <c r="F94" s="44"/>
      <c r="G94" s="42"/>
      <c r="H94" s="42"/>
      <c r="I94" s="44">
        <v>4.89</v>
      </c>
      <c r="J94" s="44">
        <v>484.0</v>
      </c>
      <c r="M94" s="44">
        <v>52.5</v>
      </c>
      <c r="N94" s="44">
        <v>404.0</v>
      </c>
    </row>
    <row r="95" ht="12.75" customHeight="1">
      <c r="A95" s="45">
        <v>0.12986111111111112</v>
      </c>
      <c r="B95" s="44">
        <v>531.0</v>
      </c>
      <c r="C95" s="23"/>
      <c r="D95" s="42"/>
      <c r="E95" s="44"/>
      <c r="F95" s="44"/>
      <c r="G95" s="42"/>
      <c r="H95" s="42"/>
      <c r="I95" s="44">
        <v>4.93</v>
      </c>
      <c r="J95" s="44">
        <v>488.0</v>
      </c>
      <c r="M95" s="44">
        <v>53.0</v>
      </c>
      <c r="N95" s="44">
        <v>407.0</v>
      </c>
    </row>
    <row r="96" ht="12.75" customHeight="1">
      <c r="A96" s="45">
        <v>0.12916666666666668</v>
      </c>
      <c r="B96" s="44">
        <v>536.0</v>
      </c>
      <c r="C96" s="23"/>
      <c r="D96" s="42"/>
      <c r="E96" s="44"/>
      <c r="F96" s="44"/>
      <c r="G96" s="42"/>
      <c r="H96" s="42"/>
      <c r="I96" s="44">
        <v>4.97</v>
      </c>
      <c r="J96" s="44">
        <v>492.0</v>
      </c>
      <c r="M96" s="44">
        <v>53.5</v>
      </c>
      <c r="N96" s="44">
        <v>410.0</v>
      </c>
    </row>
    <row r="97" ht="12.75" customHeight="1">
      <c r="A97" s="45">
        <v>0.1284722222222222</v>
      </c>
      <c r="B97" s="44">
        <v>541.0</v>
      </c>
      <c r="C97" s="23"/>
      <c r="D97" s="42"/>
      <c r="E97" s="44"/>
      <c r="F97" s="44"/>
      <c r="G97" s="42"/>
      <c r="H97" s="42"/>
      <c r="I97" s="44">
        <v>5.01</v>
      </c>
      <c r="J97" s="44">
        <v>496.0</v>
      </c>
      <c r="M97" s="44">
        <v>54.0</v>
      </c>
      <c r="N97" s="44">
        <v>413.0</v>
      </c>
    </row>
    <row r="98" ht="12.75" customHeight="1">
      <c r="A98" s="45">
        <v>0.12777777777777777</v>
      </c>
      <c r="B98" s="44">
        <v>546.0</v>
      </c>
      <c r="C98" s="23"/>
      <c r="D98" s="42"/>
      <c r="E98" s="44"/>
      <c r="F98" s="44"/>
      <c r="G98" s="42"/>
      <c r="H98" s="42"/>
      <c r="I98" s="44">
        <v>5.05</v>
      </c>
      <c r="J98" s="44">
        <v>500.0</v>
      </c>
      <c r="M98" s="44">
        <v>54.5</v>
      </c>
      <c r="N98" s="44">
        <v>416.0</v>
      </c>
    </row>
    <row r="99" ht="12.75" customHeight="1">
      <c r="A99" s="45">
        <v>0.12708333333333333</v>
      </c>
      <c r="B99" s="44">
        <v>551.0</v>
      </c>
      <c r="C99" s="23"/>
      <c r="D99" s="42"/>
      <c r="E99" s="44"/>
      <c r="F99" s="44"/>
      <c r="G99" s="42"/>
      <c r="H99" s="42"/>
      <c r="I99" s="44">
        <v>5.09</v>
      </c>
      <c r="J99" s="44">
        <v>504.0</v>
      </c>
      <c r="M99" s="44">
        <v>55.0</v>
      </c>
      <c r="N99" s="44">
        <v>419.0</v>
      </c>
    </row>
    <row r="100" ht="12.75" customHeight="1">
      <c r="A100" s="45">
        <v>0.12638888888888888</v>
      </c>
      <c r="B100" s="44">
        <v>556.0</v>
      </c>
      <c r="C100" s="23"/>
      <c r="D100" s="42"/>
      <c r="E100" s="44"/>
      <c r="F100" s="44"/>
      <c r="G100" s="42"/>
      <c r="H100" s="42"/>
      <c r="I100" s="44">
        <v>5.13</v>
      </c>
      <c r="J100" s="44">
        <v>508.0</v>
      </c>
      <c r="M100" s="44">
        <v>55.5</v>
      </c>
      <c r="N100" s="44">
        <v>422.0</v>
      </c>
    </row>
    <row r="101" ht="12.75" customHeight="1">
      <c r="A101" s="45">
        <v>0.12569444444444444</v>
      </c>
      <c r="B101" s="44">
        <v>561.0</v>
      </c>
      <c r="C101" s="23"/>
      <c r="D101" s="42"/>
      <c r="E101" s="44"/>
      <c r="F101" s="44"/>
      <c r="G101" s="42"/>
      <c r="H101" s="42"/>
      <c r="I101" s="44">
        <v>5.17</v>
      </c>
      <c r="J101" s="44">
        <v>513.0</v>
      </c>
      <c r="M101" s="44">
        <v>56.0</v>
      </c>
      <c r="N101" s="44">
        <v>425.0</v>
      </c>
    </row>
    <row r="102" ht="12.75" customHeight="1">
      <c r="A102" s="45">
        <v>0.125</v>
      </c>
      <c r="B102" s="44">
        <v>566.0</v>
      </c>
      <c r="C102" s="23"/>
      <c r="D102" s="42"/>
      <c r="E102" s="42"/>
      <c r="F102" s="42"/>
      <c r="G102" s="42"/>
      <c r="H102" s="42"/>
      <c r="I102" s="44">
        <v>5.21</v>
      </c>
      <c r="J102" s="44">
        <v>517.0</v>
      </c>
      <c r="M102" s="44">
        <v>56.5</v>
      </c>
      <c r="N102" s="44">
        <v>428.0</v>
      </c>
    </row>
    <row r="103" ht="12.75" customHeight="1">
      <c r="A103" s="45">
        <v>0.12430555555555556</v>
      </c>
      <c r="B103" s="44">
        <v>571.0</v>
      </c>
      <c r="C103" s="23"/>
      <c r="D103" s="42"/>
      <c r="E103" s="42"/>
      <c r="F103" s="42"/>
      <c r="G103" s="42"/>
      <c r="H103" s="42"/>
      <c r="I103" s="44">
        <v>5.25</v>
      </c>
      <c r="J103" s="44">
        <v>521.0</v>
      </c>
      <c r="M103" s="44">
        <v>57.0</v>
      </c>
      <c r="N103" s="44">
        <v>431.0</v>
      </c>
    </row>
    <row r="104" ht="12.75" customHeight="1">
      <c r="A104" s="45">
        <v>0.12361111111111112</v>
      </c>
      <c r="B104" s="44">
        <v>576.0</v>
      </c>
      <c r="C104" s="23"/>
      <c r="D104" s="42"/>
      <c r="E104" s="42"/>
      <c r="F104" s="42"/>
      <c r="G104" s="42"/>
      <c r="H104" s="42"/>
      <c r="I104" s="44">
        <v>5.29</v>
      </c>
      <c r="J104" s="44">
        <v>524.0</v>
      </c>
      <c r="M104" s="44">
        <v>57.5</v>
      </c>
      <c r="N104" s="44">
        <v>434.0</v>
      </c>
    </row>
    <row r="105" ht="12.75" customHeight="1">
      <c r="A105" s="45">
        <v>0.12291666666666666</v>
      </c>
      <c r="B105" s="44">
        <v>581.0</v>
      </c>
      <c r="C105" s="23"/>
      <c r="D105" s="42"/>
      <c r="E105" s="42"/>
      <c r="F105" s="42"/>
      <c r="G105" s="42"/>
      <c r="H105" s="42"/>
      <c r="I105" s="44">
        <v>5.33</v>
      </c>
      <c r="J105" s="44">
        <v>528.0</v>
      </c>
      <c r="M105" s="44">
        <v>58.0</v>
      </c>
      <c r="N105" s="44">
        <v>437.0</v>
      </c>
    </row>
    <row r="106" ht="12.75" customHeight="1">
      <c r="A106" s="45">
        <v>0.12222222222222222</v>
      </c>
      <c r="B106" s="44">
        <v>587.0</v>
      </c>
      <c r="C106" s="23"/>
      <c r="D106" s="42"/>
      <c r="E106" s="42"/>
      <c r="F106" s="42"/>
      <c r="G106" s="42"/>
      <c r="H106" s="42"/>
      <c r="I106" s="44">
        <v>5.37</v>
      </c>
      <c r="J106" s="44">
        <v>532.0</v>
      </c>
      <c r="M106" s="44">
        <v>58.5</v>
      </c>
      <c r="N106" s="44">
        <v>440.0</v>
      </c>
    </row>
    <row r="107" ht="12.75" customHeight="1">
      <c r="A107" s="45">
        <v>0.12152777777777778</v>
      </c>
      <c r="B107" s="44">
        <v>592.0</v>
      </c>
      <c r="C107" s="23"/>
      <c r="D107" s="42"/>
      <c r="E107" s="42"/>
      <c r="F107" s="42"/>
      <c r="G107" s="42"/>
      <c r="H107" s="42"/>
      <c r="I107" s="44">
        <v>5.41</v>
      </c>
      <c r="J107" s="44">
        <v>536.0</v>
      </c>
      <c r="M107" s="44">
        <v>59.0</v>
      </c>
      <c r="N107" s="44">
        <v>443.0</v>
      </c>
    </row>
    <row r="108" ht="12.75" customHeight="1">
      <c r="A108" s="45">
        <v>0.12083333333333333</v>
      </c>
      <c r="B108" s="44">
        <v>598.0</v>
      </c>
      <c r="C108" s="23"/>
      <c r="D108" s="42"/>
      <c r="E108" s="42"/>
      <c r="F108" s="42"/>
      <c r="G108" s="42"/>
      <c r="H108" s="42"/>
      <c r="I108" s="44">
        <v>5.45</v>
      </c>
      <c r="J108" s="44">
        <v>540.0</v>
      </c>
      <c r="M108" s="44">
        <v>59.5</v>
      </c>
      <c r="N108" s="44">
        <v>446.0</v>
      </c>
    </row>
    <row r="109" ht="12.75" customHeight="1">
      <c r="A109" s="45">
        <v>0.12013888888888889</v>
      </c>
      <c r="B109" s="44">
        <v>603.0</v>
      </c>
      <c r="C109" s="23"/>
      <c r="D109" s="42"/>
      <c r="E109" s="42"/>
      <c r="F109" s="42"/>
      <c r="G109" s="42"/>
      <c r="H109" s="42"/>
      <c r="I109" s="44">
        <v>5.49</v>
      </c>
      <c r="J109" s="44">
        <v>544.0</v>
      </c>
      <c r="M109" s="44">
        <v>60.0</v>
      </c>
      <c r="N109" s="44">
        <v>449.0</v>
      </c>
    </row>
    <row r="110" ht="12.75" customHeight="1">
      <c r="A110" s="45">
        <v>0.11944444444444445</v>
      </c>
      <c r="B110" s="44">
        <v>609.0</v>
      </c>
      <c r="C110" s="23"/>
      <c r="D110" s="42"/>
      <c r="E110" s="42"/>
      <c r="F110" s="42"/>
      <c r="G110" s="42"/>
      <c r="H110" s="42"/>
      <c r="I110" s="44">
        <v>5.53</v>
      </c>
      <c r="J110" s="44">
        <v>548.0</v>
      </c>
      <c r="M110" s="44">
        <v>60.5</v>
      </c>
      <c r="N110" s="44">
        <v>452.0</v>
      </c>
    </row>
    <row r="111" ht="12.75" customHeight="1">
      <c r="A111" s="45">
        <v>0.11875</v>
      </c>
      <c r="B111" s="44">
        <v>614.0</v>
      </c>
      <c r="C111" s="23"/>
      <c r="D111" s="42"/>
      <c r="E111" s="42"/>
      <c r="F111" s="42"/>
      <c r="G111" s="42"/>
      <c r="H111" s="42"/>
      <c r="I111" s="44">
        <v>5.57</v>
      </c>
      <c r="J111" s="44">
        <v>552.0</v>
      </c>
      <c r="M111" s="44">
        <v>61.0</v>
      </c>
      <c r="N111" s="44">
        <v>455.0</v>
      </c>
    </row>
    <row r="112" ht="12.75" customHeight="1">
      <c r="A112" s="45">
        <v>0.11805555555555555</v>
      </c>
      <c r="B112" s="44">
        <v>620.0</v>
      </c>
      <c r="C112" s="23"/>
      <c r="D112" s="42"/>
      <c r="E112" s="42"/>
      <c r="F112" s="42"/>
      <c r="G112" s="42"/>
      <c r="H112" s="42"/>
      <c r="I112" s="44">
        <v>5.61</v>
      </c>
      <c r="J112" s="44">
        <v>556.0</v>
      </c>
      <c r="M112" s="44">
        <v>61.5</v>
      </c>
      <c r="N112" s="44">
        <v>458.0</v>
      </c>
    </row>
    <row r="113" ht="12.75" customHeight="1">
      <c r="A113" s="45">
        <v>0.11736111111111111</v>
      </c>
      <c r="B113" s="44">
        <v>626.0</v>
      </c>
      <c r="C113" s="23"/>
      <c r="D113" s="42"/>
      <c r="E113" s="42"/>
      <c r="F113" s="42"/>
      <c r="G113" s="42"/>
      <c r="H113" s="42"/>
      <c r="I113" s="44">
        <v>5.65</v>
      </c>
      <c r="J113" s="44">
        <v>560.0</v>
      </c>
      <c r="M113" s="44">
        <v>62.0</v>
      </c>
      <c r="N113" s="44">
        <v>461.0</v>
      </c>
    </row>
    <row r="114" ht="12.75" customHeight="1">
      <c r="A114" s="45">
        <v>0.11666666666666667</v>
      </c>
      <c r="B114" s="44">
        <v>632.0</v>
      </c>
      <c r="C114" s="23"/>
      <c r="D114" s="42"/>
      <c r="E114" s="42"/>
      <c r="F114" s="42"/>
      <c r="G114" s="42"/>
      <c r="H114" s="42"/>
      <c r="I114" s="44">
        <v>5.69</v>
      </c>
      <c r="J114" s="44">
        <v>563.0</v>
      </c>
      <c r="M114" s="44">
        <v>62.5</v>
      </c>
      <c r="N114" s="44">
        <v>464.0</v>
      </c>
    </row>
    <row r="115" ht="12.75" customHeight="1">
      <c r="A115" s="45">
        <v>0.11597222222222223</v>
      </c>
      <c r="B115" s="44">
        <v>638.0</v>
      </c>
      <c r="C115" s="23"/>
      <c r="D115" s="42"/>
      <c r="E115" s="42"/>
      <c r="F115" s="42"/>
      <c r="G115" s="42"/>
      <c r="H115" s="42"/>
      <c r="I115" s="44">
        <v>5.73</v>
      </c>
      <c r="J115" s="44">
        <v>567.0</v>
      </c>
      <c r="M115" s="44">
        <v>63.0</v>
      </c>
      <c r="N115" s="44">
        <v>467.0</v>
      </c>
    </row>
    <row r="116" ht="12.75" customHeight="1">
      <c r="A116" s="45">
        <v>0.11527777777777778</v>
      </c>
      <c r="B116" s="44">
        <v>644.0</v>
      </c>
      <c r="C116" s="23"/>
      <c r="D116" s="42"/>
      <c r="E116" s="42"/>
      <c r="F116" s="42"/>
      <c r="G116" s="42"/>
      <c r="H116" s="42"/>
      <c r="I116" s="44">
        <v>5.77</v>
      </c>
      <c r="J116" s="44">
        <v>571.0</v>
      </c>
      <c r="M116" s="44">
        <v>63.5</v>
      </c>
      <c r="N116" s="44">
        <v>469.0</v>
      </c>
    </row>
    <row r="117" ht="12.75" customHeight="1">
      <c r="A117" s="45">
        <v>0.11458333333333333</v>
      </c>
      <c r="B117" s="44">
        <v>650.0</v>
      </c>
      <c r="C117" s="23"/>
      <c r="D117" s="42"/>
      <c r="E117" s="42"/>
      <c r="F117" s="42"/>
      <c r="G117" s="42"/>
      <c r="H117" s="42"/>
      <c r="I117" s="44">
        <v>5.81</v>
      </c>
      <c r="J117" s="44">
        <v>575.0</v>
      </c>
      <c r="M117" s="44">
        <v>64.0</v>
      </c>
      <c r="N117" s="44">
        <v>472.0</v>
      </c>
    </row>
    <row r="118" ht="12.75" customHeight="1">
      <c r="A118" s="45">
        <v>0.11388888888888889</v>
      </c>
      <c r="B118" s="44">
        <v>656.0</v>
      </c>
      <c r="C118" s="23"/>
      <c r="D118" s="42"/>
      <c r="E118" s="42"/>
      <c r="F118" s="42"/>
      <c r="G118" s="42"/>
      <c r="H118" s="42"/>
      <c r="I118" s="44">
        <v>5.85</v>
      </c>
      <c r="J118" s="44">
        <v>579.0</v>
      </c>
      <c r="M118" s="44">
        <v>64.5</v>
      </c>
      <c r="N118" s="44">
        <v>475.0</v>
      </c>
    </row>
    <row r="119" ht="12.75" customHeight="1">
      <c r="A119" s="45">
        <v>0.11319444444444444</v>
      </c>
      <c r="B119" s="44">
        <v>662.0</v>
      </c>
      <c r="C119" s="23"/>
      <c r="D119" s="42"/>
      <c r="E119" s="42"/>
      <c r="F119" s="42"/>
      <c r="G119" s="42"/>
      <c r="H119" s="42"/>
      <c r="I119" s="44">
        <v>5.89</v>
      </c>
      <c r="J119" s="44">
        <v>582.0</v>
      </c>
      <c r="M119" s="44">
        <v>65.0</v>
      </c>
      <c r="N119" s="44">
        <v>478.0</v>
      </c>
    </row>
    <row r="120" ht="12.75" customHeight="1">
      <c r="A120" s="45">
        <v>0.1125</v>
      </c>
      <c r="B120" s="44">
        <v>669.0</v>
      </c>
      <c r="C120" s="23"/>
      <c r="D120" s="42"/>
      <c r="E120" s="42"/>
      <c r="F120" s="42"/>
      <c r="G120" s="42"/>
      <c r="H120" s="42"/>
      <c r="I120" s="44">
        <v>5.93</v>
      </c>
      <c r="J120" s="44">
        <v>586.0</v>
      </c>
      <c r="M120" s="44">
        <v>65.5</v>
      </c>
      <c r="N120" s="44">
        <v>481.0</v>
      </c>
    </row>
    <row r="121" ht="12.75" customHeight="1">
      <c r="A121" s="45">
        <v>0.11180555555555556</v>
      </c>
      <c r="B121" s="44">
        <v>675.0</v>
      </c>
      <c r="C121" s="23"/>
      <c r="D121" s="42"/>
      <c r="E121" s="42"/>
      <c r="F121" s="42"/>
      <c r="G121" s="42"/>
      <c r="H121" s="42"/>
      <c r="I121" s="44">
        <v>5.97</v>
      </c>
      <c r="J121" s="44">
        <v>590.0</v>
      </c>
      <c r="M121" s="44">
        <v>66.0</v>
      </c>
      <c r="N121" s="44">
        <v>484.0</v>
      </c>
    </row>
    <row r="122" ht="12.75" customHeight="1">
      <c r="A122" s="45">
        <v>0.1111111111111111</v>
      </c>
      <c r="B122" s="44">
        <v>682.0</v>
      </c>
      <c r="C122" s="23"/>
      <c r="D122" s="42"/>
      <c r="E122" s="42"/>
      <c r="F122" s="42"/>
      <c r="G122" s="42"/>
      <c r="H122" s="42"/>
      <c r="I122" s="44">
        <v>6.01</v>
      </c>
      <c r="J122" s="44">
        <v>594.0</v>
      </c>
      <c r="M122" s="44">
        <v>66.5</v>
      </c>
      <c r="N122" s="44">
        <v>486.0</v>
      </c>
    </row>
    <row r="123" ht="12.75" customHeight="1">
      <c r="A123" s="45"/>
      <c r="B123" s="44"/>
      <c r="C123" s="23"/>
      <c r="D123" s="42"/>
      <c r="E123" s="42"/>
      <c r="F123" s="42"/>
      <c r="G123" s="42"/>
      <c r="H123" s="42"/>
      <c r="I123" s="44">
        <v>6.05</v>
      </c>
      <c r="J123" s="44">
        <v>597.0</v>
      </c>
      <c r="M123" s="44">
        <v>67.0</v>
      </c>
      <c r="N123" s="44">
        <v>489.0</v>
      </c>
    </row>
    <row r="124" ht="12.75" customHeight="1">
      <c r="A124" s="45"/>
      <c r="B124" s="44"/>
      <c r="C124" s="23"/>
      <c r="D124" s="42"/>
      <c r="E124" s="42"/>
      <c r="F124" s="42"/>
      <c r="G124" s="42"/>
      <c r="H124" s="42"/>
      <c r="I124" s="44">
        <v>6.09</v>
      </c>
      <c r="J124" s="44">
        <v>601.0</v>
      </c>
      <c r="M124" s="44">
        <v>67.5</v>
      </c>
      <c r="N124" s="44">
        <v>492.0</v>
      </c>
    </row>
    <row r="125" ht="12.75" customHeight="1">
      <c r="A125" s="45"/>
      <c r="B125" s="44"/>
      <c r="C125" s="23"/>
      <c r="D125" s="42"/>
      <c r="E125" s="42"/>
      <c r="F125" s="42"/>
      <c r="G125" s="42"/>
      <c r="H125" s="42"/>
      <c r="I125" s="44">
        <v>6.13</v>
      </c>
      <c r="J125" s="44">
        <v>605.0</v>
      </c>
      <c r="M125" s="44">
        <v>68.0</v>
      </c>
      <c r="N125" s="44">
        <v>495.0</v>
      </c>
    </row>
    <row r="126" ht="12.75" customHeight="1">
      <c r="A126" s="45"/>
      <c r="B126" s="44"/>
      <c r="C126" s="23"/>
      <c r="D126" s="42"/>
      <c r="E126" s="42"/>
      <c r="F126" s="42"/>
      <c r="G126" s="42"/>
      <c r="H126" s="42"/>
      <c r="I126" s="44">
        <v>6.17</v>
      </c>
      <c r="J126" s="44">
        <v>608.0</v>
      </c>
      <c r="M126" s="44">
        <v>68.5</v>
      </c>
      <c r="N126" s="44">
        <v>497.0</v>
      </c>
    </row>
    <row r="127" ht="12.75" customHeight="1">
      <c r="A127" s="45"/>
      <c r="B127" s="44"/>
      <c r="C127" s="23"/>
      <c r="D127" s="42"/>
      <c r="E127" s="42"/>
      <c r="F127" s="42"/>
      <c r="G127" s="42"/>
      <c r="H127" s="42"/>
      <c r="I127" s="44">
        <v>6.21</v>
      </c>
      <c r="J127" s="44">
        <v>612.0</v>
      </c>
      <c r="M127" s="44">
        <v>69.0</v>
      </c>
      <c r="N127" s="44">
        <v>500.0</v>
      </c>
    </row>
    <row r="128" ht="12.75" customHeight="1">
      <c r="A128" s="45"/>
      <c r="B128" s="44"/>
      <c r="C128" s="23"/>
      <c r="D128" s="42"/>
      <c r="E128" s="42"/>
      <c r="F128" s="42"/>
      <c r="G128" s="42"/>
      <c r="H128" s="42"/>
      <c r="I128" s="44">
        <v>6.25</v>
      </c>
      <c r="J128" s="44">
        <v>616.0</v>
      </c>
      <c r="M128" s="44">
        <v>69.5</v>
      </c>
      <c r="N128" s="44">
        <v>503.0</v>
      </c>
    </row>
    <row r="129" ht="12.75" customHeight="1">
      <c r="A129" s="45"/>
      <c r="B129" s="44"/>
      <c r="C129" s="23"/>
      <c r="D129" s="42"/>
      <c r="E129" s="42"/>
      <c r="F129" s="42"/>
      <c r="G129" s="42"/>
      <c r="H129" s="42"/>
      <c r="I129" s="44">
        <v>6.29</v>
      </c>
      <c r="J129" s="44">
        <v>619.0</v>
      </c>
      <c r="M129" s="44">
        <v>70.0</v>
      </c>
      <c r="N129" s="44">
        <v>506.0</v>
      </c>
    </row>
    <row r="130" ht="12.75" customHeight="1">
      <c r="A130" s="45"/>
      <c r="B130" s="44"/>
      <c r="C130" s="23"/>
      <c r="D130" s="42"/>
      <c r="E130" s="42"/>
      <c r="F130" s="42"/>
      <c r="G130" s="42"/>
      <c r="H130" s="42"/>
      <c r="I130" s="44">
        <v>6.33</v>
      </c>
      <c r="J130" s="44">
        <v>623.0</v>
      </c>
      <c r="M130" s="44">
        <v>70.5</v>
      </c>
      <c r="N130" s="44">
        <v>508.0</v>
      </c>
    </row>
    <row r="131" ht="12.75" customHeight="1">
      <c r="A131" s="45"/>
      <c r="B131" s="44"/>
      <c r="C131" s="23"/>
      <c r="D131" s="42"/>
      <c r="E131" s="42"/>
      <c r="F131" s="42"/>
      <c r="G131" s="42"/>
      <c r="H131" s="42"/>
      <c r="I131" s="44">
        <v>6.37</v>
      </c>
      <c r="J131" s="44">
        <v>627.0</v>
      </c>
      <c r="M131" s="44">
        <v>71.0</v>
      </c>
      <c r="N131" s="44">
        <v>511.0</v>
      </c>
    </row>
    <row r="132" ht="12.75" customHeight="1">
      <c r="A132" s="45"/>
      <c r="B132" s="44"/>
      <c r="C132" s="23"/>
      <c r="D132" s="42"/>
      <c r="E132" s="42"/>
      <c r="F132" s="42"/>
      <c r="G132" s="42"/>
      <c r="H132" s="42"/>
      <c r="I132" s="44">
        <v>6.41</v>
      </c>
      <c r="J132" s="44">
        <v>630.0</v>
      </c>
      <c r="M132" s="44">
        <v>71.5</v>
      </c>
      <c r="N132" s="44">
        <v>514.0</v>
      </c>
    </row>
    <row r="133" ht="12.75" customHeight="1">
      <c r="A133" s="45"/>
      <c r="B133" s="44"/>
      <c r="C133" s="23"/>
      <c r="D133" s="42"/>
      <c r="E133" s="42"/>
      <c r="F133" s="42"/>
      <c r="G133" s="42"/>
      <c r="H133" s="42"/>
      <c r="I133" s="44">
        <v>6.45</v>
      </c>
      <c r="J133" s="44">
        <v>634.0</v>
      </c>
      <c r="M133" s="44">
        <v>72.0</v>
      </c>
      <c r="N133" s="44">
        <v>516.0</v>
      </c>
    </row>
    <row r="134" ht="12.75" customHeight="1">
      <c r="A134" s="45"/>
      <c r="B134" s="44"/>
      <c r="C134" s="23"/>
      <c r="D134" s="42"/>
      <c r="E134" s="42"/>
      <c r="F134" s="42"/>
      <c r="G134" s="42"/>
      <c r="H134" s="42"/>
      <c r="I134" s="44">
        <v>6.49</v>
      </c>
      <c r="J134" s="44">
        <v>638.0</v>
      </c>
      <c r="M134" s="44">
        <v>72.5</v>
      </c>
      <c r="N134" s="44">
        <v>519.0</v>
      </c>
    </row>
    <row r="135" ht="12.75" customHeight="1">
      <c r="A135" s="45"/>
      <c r="B135" s="44"/>
      <c r="C135" s="23"/>
      <c r="D135" s="42"/>
      <c r="E135" s="42"/>
      <c r="F135" s="42"/>
      <c r="G135" s="42"/>
      <c r="H135" s="42"/>
      <c r="I135" s="44">
        <v>6.53</v>
      </c>
      <c r="J135" s="44">
        <v>641.0</v>
      </c>
      <c r="M135" s="44">
        <v>73.0</v>
      </c>
      <c r="N135" s="44">
        <v>522.0</v>
      </c>
    </row>
    <row r="136" ht="12.75" customHeight="1">
      <c r="A136" s="45"/>
      <c r="B136" s="44"/>
      <c r="C136" s="23"/>
      <c r="D136" s="42"/>
      <c r="E136" s="42"/>
      <c r="F136" s="42"/>
      <c r="G136" s="42"/>
      <c r="H136" s="42"/>
      <c r="I136" s="44">
        <v>6.57</v>
      </c>
      <c r="J136" s="44">
        <v>645.0</v>
      </c>
      <c r="M136" s="44">
        <v>73.5</v>
      </c>
      <c r="N136" s="44">
        <v>524.0</v>
      </c>
    </row>
    <row r="137" ht="12.75" customHeight="1">
      <c r="A137" s="23"/>
      <c r="B137" s="23"/>
      <c r="C137" s="23"/>
      <c r="D137" s="42"/>
      <c r="E137" s="42"/>
      <c r="F137" s="42"/>
      <c r="G137" s="42"/>
      <c r="H137" s="42"/>
      <c r="I137" s="44">
        <v>6.61</v>
      </c>
      <c r="J137" s="44">
        <v>648.0</v>
      </c>
      <c r="M137" s="44">
        <v>74.0</v>
      </c>
      <c r="N137" s="44">
        <v>527.0</v>
      </c>
    </row>
    <row r="138" ht="12.75" customHeight="1">
      <c r="A138" s="23"/>
      <c r="B138" s="23"/>
      <c r="C138" s="23"/>
      <c r="D138" s="42"/>
      <c r="E138" s="42"/>
      <c r="F138" s="42"/>
      <c r="G138" s="42"/>
      <c r="H138" s="42"/>
      <c r="I138" s="44">
        <v>6.65</v>
      </c>
      <c r="J138" s="44">
        <v>652.0</v>
      </c>
      <c r="M138" s="44">
        <v>74.5</v>
      </c>
      <c r="N138" s="44">
        <v>530.0</v>
      </c>
    </row>
    <row r="139" ht="12.75" customHeight="1">
      <c r="A139" s="23"/>
      <c r="B139" s="23"/>
      <c r="C139" s="23"/>
      <c r="D139" s="42"/>
      <c r="E139" s="42"/>
      <c r="F139" s="42"/>
      <c r="G139" s="42"/>
      <c r="H139" s="42"/>
      <c r="I139" s="44">
        <v>6.69</v>
      </c>
      <c r="J139" s="44">
        <v>655.0</v>
      </c>
      <c r="M139" s="44">
        <v>75.0</v>
      </c>
      <c r="N139" s="44">
        <v>532.0</v>
      </c>
    </row>
    <row r="140" ht="12.75" customHeight="1">
      <c r="A140" s="23"/>
      <c r="B140" s="23"/>
      <c r="C140" s="23"/>
      <c r="D140" s="42"/>
      <c r="E140" s="42"/>
      <c r="F140" s="42"/>
      <c r="G140" s="42"/>
      <c r="H140" s="42"/>
      <c r="I140" s="44">
        <v>6.73</v>
      </c>
      <c r="J140" s="44">
        <v>659.0</v>
      </c>
      <c r="M140" s="44">
        <v>75.5</v>
      </c>
      <c r="N140" s="44">
        <v>535.0</v>
      </c>
    </row>
    <row r="141" ht="12.75" customHeight="1">
      <c r="A141" s="23"/>
      <c r="B141" s="23"/>
      <c r="C141" s="23"/>
      <c r="D141" s="42"/>
      <c r="E141" s="42"/>
      <c r="F141" s="42"/>
      <c r="G141" s="42"/>
      <c r="H141" s="42"/>
      <c r="I141" s="44">
        <v>6.77</v>
      </c>
      <c r="J141" s="44">
        <v>662.0</v>
      </c>
      <c r="M141" s="44">
        <v>76.0</v>
      </c>
      <c r="N141" s="44">
        <v>537.0</v>
      </c>
    </row>
    <row r="142" ht="12.75" customHeight="1">
      <c r="A142" s="23"/>
      <c r="B142" s="23"/>
      <c r="C142" s="23"/>
      <c r="D142" s="42"/>
      <c r="E142" s="42"/>
      <c r="F142" s="42"/>
      <c r="G142" s="42"/>
      <c r="H142" s="42"/>
      <c r="I142" s="44">
        <v>6.81</v>
      </c>
      <c r="J142" s="44">
        <v>666.0</v>
      </c>
      <c r="M142" s="44">
        <v>76.5</v>
      </c>
      <c r="N142" s="44">
        <v>540.0</v>
      </c>
    </row>
    <row r="143" ht="12.75" customHeight="1">
      <c r="A143" s="23"/>
      <c r="B143" s="23"/>
      <c r="C143" s="23"/>
      <c r="D143" s="42"/>
      <c r="E143" s="42"/>
      <c r="F143" s="42"/>
      <c r="G143" s="42"/>
      <c r="H143" s="42"/>
      <c r="I143" s="44">
        <v>6.85</v>
      </c>
      <c r="J143" s="44">
        <v>669.0</v>
      </c>
      <c r="M143" s="44">
        <v>77.0</v>
      </c>
      <c r="N143" s="44">
        <v>543.0</v>
      </c>
    </row>
    <row r="144" ht="12.75" customHeight="1">
      <c r="A144" s="23"/>
      <c r="B144" s="23"/>
      <c r="C144" s="23"/>
      <c r="D144" s="42"/>
      <c r="E144" s="42"/>
      <c r="F144" s="42"/>
      <c r="G144" s="42"/>
      <c r="H144" s="42"/>
      <c r="I144" s="44">
        <v>6.89</v>
      </c>
      <c r="J144" s="44">
        <v>673.0</v>
      </c>
      <c r="M144" s="44">
        <v>77.5</v>
      </c>
      <c r="N144" s="44">
        <v>545.0</v>
      </c>
    </row>
    <row r="145" ht="12.75" customHeight="1">
      <c r="A145" s="23"/>
      <c r="B145" s="23"/>
      <c r="C145" s="23"/>
      <c r="D145" s="42"/>
      <c r="E145" s="42"/>
      <c r="F145" s="42"/>
      <c r="G145" s="42"/>
      <c r="H145" s="42"/>
      <c r="I145" s="44">
        <v>6.93</v>
      </c>
      <c r="J145" s="44">
        <v>676.0</v>
      </c>
      <c r="M145" s="44">
        <v>78.0</v>
      </c>
      <c r="N145" s="44">
        <v>548.0</v>
      </c>
    </row>
    <row r="146" ht="12.75" customHeight="1">
      <c r="A146" s="23"/>
      <c r="B146" s="23"/>
      <c r="C146" s="23"/>
      <c r="D146" s="42"/>
      <c r="E146" s="42"/>
      <c r="F146" s="42"/>
      <c r="G146" s="42"/>
      <c r="H146" s="42"/>
      <c r="I146" s="44">
        <v>6.97</v>
      </c>
      <c r="J146" s="44">
        <v>680.0</v>
      </c>
      <c r="M146" s="44">
        <v>78.5</v>
      </c>
      <c r="N146" s="44">
        <v>550.0</v>
      </c>
    </row>
    <row r="147" ht="12.75" customHeight="1">
      <c r="A147" s="23"/>
      <c r="B147" s="23"/>
      <c r="C147" s="23"/>
      <c r="D147" s="42"/>
      <c r="E147" s="42"/>
      <c r="F147" s="42"/>
      <c r="G147" s="42"/>
      <c r="H147" s="42"/>
      <c r="I147" s="44">
        <v>7.01</v>
      </c>
      <c r="J147" s="44">
        <v>683.0</v>
      </c>
      <c r="M147" s="44">
        <v>79.0</v>
      </c>
      <c r="N147" s="44">
        <v>553.0</v>
      </c>
    </row>
    <row r="148" ht="12.75" customHeight="1">
      <c r="A148" s="23"/>
      <c r="B148" s="23"/>
      <c r="C148" s="23"/>
      <c r="D148" s="42"/>
      <c r="E148" s="42"/>
      <c r="F148" s="42"/>
      <c r="G148" s="42"/>
      <c r="H148" s="42"/>
      <c r="I148" s="44">
        <v>7.05</v>
      </c>
      <c r="J148" s="44">
        <v>687.0</v>
      </c>
      <c r="M148" s="44">
        <v>79.5</v>
      </c>
      <c r="N148" s="44">
        <v>556.0</v>
      </c>
    </row>
    <row r="149" ht="12.75" customHeight="1">
      <c r="I149" s="44">
        <v>7.09</v>
      </c>
      <c r="J149" s="44">
        <v>690.0</v>
      </c>
    </row>
    <row r="150" ht="12.75" customHeight="1">
      <c r="I150" s="44">
        <v>7.13</v>
      </c>
      <c r="J150" s="44">
        <v>694.0</v>
      </c>
    </row>
    <row r="151" ht="12.75" customHeight="1">
      <c r="I151" s="44">
        <v>7.17</v>
      </c>
      <c r="J151" s="44">
        <v>697.0</v>
      </c>
    </row>
    <row r="152" ht="12.75" customHeight="1">
      <c r="I152" s="44">
        <v>7.21</v>
      </c>
      <c r="J152" s="44">
        <v>700.0</v>
      </c>
    </row>
    <row r="153" ht="12.75" customHeight="1">
      <c r="I153" s="44">
        <v>7.25</v>
      </c>
      <c r="J153" s="44">
        <v>704.0</v>
      </c>
    </row>
    <row r="154" ht="12.75" customHeight="1">
      <c r="I154" s="44">
        <v>7.29</v>
      </c>
      <c r="J154" s="44">
        <v>707.0</v>
      </c>
    </row>
    <row r="155" ht="12.75" customHeight="1">
      <c r="I155" s="44">
        <v>7.33</v>
      </c>
      <c r="J155" s="44">
        <v>711.0</v>
      </c>
    </row>
    <row r="156" ht="12.75" customHeight="1">
      <c r="I156" s="44">
        <v>7.37</v>
      </c>
      <c r="J156" s="44">
        <v>714.0</v>
      </c>
    </row>
    <row r="157" ht="12.75" customHeight="1">
      <c r="I157" s="44">
        <v>7.41</v>
      </c>
      <c r="J157" s="44">
        <v>717.0</v>
      </c>
    </row>
    <row r="158" ht="12.75" customHeight="1">
      <c r="I158" s="44">
        <v>7.45</v>
      </c>
      <c r="J158" s="44">
        <v>721.0</v>
      </c>
    </row>
    <row r="159" ht="12.75" customHeight="1">
      <c r="I159" s="44">
        <v>7.49</v>
      </c>
      <c r="J159" s="44">
        <v>724.0</v>
      </c>
    </row>
    <row r="160" ht="12.75" customHeight="1">
      <c r="I160" s="44">
        <v>7.53</v>
      </c>
      <c r="J160" s="44">
        <v>727.0</v>
      </c>
    </row>
    <row r="161" ht="12.75" customHeight="1">
      <c r="I161" s="44">
        <v>7.57</v>
      </c>
      <c r="J161" s="44">
        <v>731.0</v>
      </c>
    </row>
    <row r="162" ht="12.75" customHeight="1">
      <c r="I162" s="44">
        <v>7.61</v>
      </c>
      <c r="J162" s="44">
        <v>734.0</v>
      </c>
    </row>
    <row r="163" ht="12.75" customHeight="1">
      <c r="I163" s="44">
        <v>7.65</v>
      </c>
      <c r="J163" s="44">
        <v>737.0</v>
      </c>
    </row>
    <row r="164" ht="12.75" customHeight="1">
      <c r="I164" s="44">
        <v>7.69</v>
      </c>
      <c r="J164" s="44">
        <v>741.0</v>
      </c>
    </row>
    <row r="165" ht="12.75" customHeight="1">
      <c r="I165" s="44">
        <v>7.73</v>
      </c>
      <c r="J165" s="44">
        <v>744.0</v>
      </c>
    </row>
    <row r="166" ht="12.75" customHeight="1">
      <c r="I166" s="44">
        <v>7.77</v>
      </c>
      <c r="J166" s="44">
        <v>747.0</v>
      </c>
    </row>
    <row r="167" ht="12.75" customHeight="1">
      <c r="I167" s="44">
        <v>7.81</v>
      </c>
      <c r="J167" s="44">
        <v>750.0</v>
      </c>
    </row>
    <row r="168" ht="12.75" customHeight="1">
      <c r="I168" s="44">
        <v>7.85</v>
      </c>
      <c r="J168" s="44">
        <v>754.0</v>
      </c>
    </row>
    <row r="169" ht="12.75" customHeight="1">
      <c r="I169" s="44">
        <v>7.89</v>
      </c>
      <c r="J169" s="44">
        <v>757.0</v>
      </c>
    </row>
    <row r="170" ht="12.75" customHeight="1">
      <c r="I170" s="44">
        <v>7.93</v>
      </c>
      <c r="J170" s="44">
        <v>760.0</v>
      </c>
    </row>
    <row r="171" ht="12.75" customHeight="1">
      <c r="I171" s="44">
        <v>7.97</v>
      </c>
      <c r="J171" s="44">
        <v>763.0</v>
      </c>
    </row>
    <row r="172" ht="12.75" customHeight="1">
      <c r="I172" s="44">
        <v>8.01</v>
      </c>
      <c r="J172" s="44">
        <v>767.0</v>
      </c>
    </row>
    <row r="173" ht="12.75" customHeight="1">
      <c r="I173" s="44">
        <v>8.05</v>
      </c>
      <c r="J173" s="44">
        <v>770.0</v>
      </c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F1"/>
    <mergeCell ref="A3:B3"/>
    <mergeCell ref="E3:F3"/>
    <mergeCell ref="I3:J3"/>
    <mergeCell ref="M3:N3"/>
  </mergeCells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43.5" customHeight="1">
      <c r="A1" s="36" t="s">
        <v>31</v>
      </c>
      <c r="B1" s="37"/>
      <c r="C1" s="37"/>
      <c r="D1" s="37"/>
      <c r="E1" s="37"/>
      <c r="F1" s="38"/>
    </row>
    <row r="2" ht="12.75" customHeight="1"/>
    <row r="3" ht="19.5" customHeight="1">
      <c r="A3" s="39" t="s">
        <v>32</v>
      </c>
      <c r="B3" s="40"/>
      <c r="C3" s="41"/>
      <c r="D3" s="42"/>
      <c r="E3" s="43" t="s">
        <v>33</v>
      </c>
      <c r="F3" s="40"/>
      <c r="G3" s="42"/>
      <c r="H3" s="42"/>
      <c r="I3" s="39" t="s">
        <v>34</v>
      </c>
      <c r="J3" s="40"/>
      <c r="M3" s="39" t="s">
        <v>35</v>
      </c>
      <c r="N3" s="40"/>
    </row>
    <row r="4" ht="12.75" customHeight="1">
      <c r="A4" s="44" t="s">
        <v>27</v>
      </c>
      <c r="B4" s="44" t="s">
        <v>28</v>
      </c>
      <c r="C4" s="23"/>
      <c r="D4" s="23"/>
      <c r="E4" s="44" t="s">
        <v>29</v>
      </c>
      <c r="F4" s="44" t="s">
        <v>28</v>
      </c>
      <c r="G4" s="23"/>
      <c r="H4" s="23"/>
      <c r="I4" s="44" t="s">
        <v>30</v>
      </c>
      <c r="J4" s="44" t="s">
        <v>28</v>
      </c>
      <c r="M4" s="44" t="s">
        <v>30</v>
      </c>
      <c r="N4" s="44" t="s">
        <v>28</v>
      </c>
    </row>
    <row r="5" ht="12.75" customHeight="1">
      <c r="A5" s="45">
        <v>0.2708333333333333</v>
      </c>
      <c r="B5" s="44">
        <v>4.0</v>
      </c>
      <c r="C5" s="23"/>
      <c r="D5" s="42"/>
      <c r="E5" s="44">
        <v>13.4</v>
      </c>
      <c r="F5" s="44">
        <v>2.0</v>
      </c>
      <c r="G5" s="42"/>
      <c r="H5" s="42"/>
      <c r="I5" s="44">
        <v>1.21</v>
      </c>
      <c r="J5" s="44">
        <v>3.0</v>
      </c>
      <c r="M5" s="44">
        <v>4.5</v>
      </c>
      <c r="N5" s="44">
        <v>11.0</v>
      </c>
    </row>
    <row r="6" ht="12.75" customHeight="1">
      <c r="A6" s="45">
        <v>0.2673611111111111</v>
      </c>
      <c r="B6" s="44">
        <v>8.0</v>
      </c>
      <c r="C6" s="23"/>
      <c r="D6" s="42"/>
      <c r="E6" s="44">
        <v>13.3</v>
      </c>
      <c r="F6" s="44">
        <v>6.0</v>
      </c>
      <c r="G6" s="42"/>
      <c r="H6" s="42"/>
      <c r="I6" s="44">
        <v>1.25</v>
      </c>
      <c r="J6" s="44">
        <v>11.0</v>
      </c>
      <c r="M6" s="44">
        <v>5.0</v>
      </c>
      <c r="N6" s="44">
        <v>24.0</v>
      </c>
    </row>
    <row r="7" ht="12.75" customHeight="1">
      <c r="A7" s="45">
        <v>0.2638888888888889</v>
      </c>
      <c r="B7" s="44">
        <v>12.0</v>
      </c>
      <c r="C7" s="23"/>
      <c r="D7" s="42"/>
      <c r="E7" s="44">
        <v>13.2</v>
      </c>
      <c r="F7" s="44">
        <v>10.0</v>
      </c>
      <c r="G7" s="42"/>
      <c r="H7" s="42"/>
      <c r="I7" s="44">
        <v>1.29</v>
      </c>
      <c r="J7" s="44">
        <v>20.0</v>
      </c>
      <c r="M7" s="44">
        <v>5.5</v>
      </c>
      <c r="N7" s="44">
        <v>36.0</v>
      </c>
    </row>
    <row r="8" ht="12.75" customHeight="1">
      <c r="A8" s="45">
        <v>0.2604166666666667</v>
      </c>
      <c r="B8" s="44">
        <v>17.0</v>
      </c>
      <c r="C8" s="23"/>
      <c r="D8" s="42"/>
      <c r="E8" s="44">
        <v>13.1</v>
      </c>
      <c r="F8" s="44">
        <v>15.0</v>
      </c>
      <c r="G8" s="42"/>
      <c r="H8" s="42"/>
      <c r="I8" s="44">
        <v>1.33</v>
      </c>
      <c r="J8" s="44">
        <v>28.0</v>
      </c>
      <c r="M8" s="44">
        <v>6.0</v>
      </c>
      <c r="N8" s="44">
        <v>48.0</v>
      </c>
    </row>
    <row r="9" ht="12.75" customHeight="1">
      <c r="A9" s="45">
        <v>0.2569444444444444</v>
      </c>
      <c r="B9" s="44">
        <v>21.0</v>
      </c>
      <c r="C9" s="23"/>
      <c r="D9" s="42"/>
      <c r="E9" s="44">
        <v>13.0</v>
      </c>
      <c r="F9" s="44">
        <v>19.0</v>
      </c>
      <c r="G9" s="42"/>
      <c r="H9" s="42"/>
      <c r="I9" s="44">
        <v>1.37</v>
      </c>
      <c r="J9" s="44">
        <v>37.0</v>
      </c>
      <c r="M9" s="44">
        <v>6.5</v>
      </c>
      <c r="N9" s="44">
        <v>60.0</v>
      </c>
    </row>
    <row r="10" ht="12.75" customHeight="1">
      <c r="A10" s="45">
        <v>0.2534722222222222</v>
      </c>
      <c r="B10" s="44">
        <v>26.0</v>
      </c>
      <c r="C10" s="23"/>
      <c r="D10" s="42"/>
      <c r="E10" s="44">
        <v>12.9</v>
      </c>
      <c r="F10" s="44">
        <v>23.0</v>
      </c>
      <c r="G10" s="42"/>
      <c r="H10" s="42"/>
      <c r="I10" s="44">
        <v>1.41</v>
      </c>
      <c r="J10" s="44">
        <v>45.0</v>
      </c>
      <c r="M10" s="44">
        <v>7.0</v>
      </c>
      <c r="N10" s="44">
        <v>71.0</v>
      </c>
    </row>
    <row r="11" ht="12.75" customHeight="1">
      <c r="A11" s="45">
        <v>0.25</v>
      </c>
      <c r="B11" s="44">
        <v>30.0</v>
      </c>
      <c r="C11" s="23"/>
      <c r="D11" s="42"/>
      <c r="E11" s="44">
        <v>12.8</v>
      </c>
      <c r="F11" s="44">
        <v>28.0</v>
      </c>
      <c r="G11" s="42"/>
      <c r="H11" s="42"/>
      <c r="I11" s="44">
        <v>1.45</v>
      </c>
      <c r="J11" s="44">
        <v>53.0</v>
      </c>
      <c r="M11" s="44">
        <v>7.5</v>
      </c>
      <c r="N11" s="44">
        <v>81.0</v>
      </c>
    </row>
    <row r="12" ht="12.75" customHeight="1">
      <c r="A12" s="45">
        <v>0.24722222222222223</v>
      </c>
      <c r="B12" s="44">
        <v>34.0</v>
      </c>
      <c r="C12" s="23"/>
      <c r="D12" s="42"/>
      <c r="E12" s="44">
        <v>12.7</v>
      </c>
      <c r="F12" s="44">
        <v>32.0</v>
      </c>
      <c r="G12" s="42"/>
      <c r="H12" s="42"/>
      <c r="I12" s="44">
        <v>1.49</v>
      </c>
      <c r="J12" s="44">
        <v>61.0</v>
      </c>
      <c r="M12" s="44">
        <v>8.0</v>
      </c>
      <c r="N12" s="44">
        <v>92.0</v>
      </c>
    </row>
    <row r="13" ht="12.75" customHeight="1">
      <c r="A13" s="45">
        <v>0.24444444444444444</v>
      </c>
      <c r="B13" s="44">
        <v>38.0</v>
      </c>
      <c r="C13" s="23"/>
      <c r="D13" s="42"/>
      <c r="E13" s="44">
        <v>12.6</v>
      </c>
      <c r="F13" s="44">
        <v>37.0</v>
      </c>
      <c r="G13" s="42"/>
      <c r="H13" s="42"/>
      <c r="I13" s="44">
        <v>1.53</v>
      </c>
      <c r="J13" s="44">
        <v>68.0</v>
      </c>
      <c r="M13" s="44">
        <v>8.5</v>
      </c>
      <c r="N13" s="44">
        <v>102.0</v>
      </c>
    </row>
    <row r="14" ht="12.75" customHeight="1">
      <c r="A14" s="45">
        <v>0.24166666666666667</v>
      </c>
      <c r="B14" s="44">
        <v>42.0</v>
      </c>
      <c r="C14" s="23"/>
      <c r="D14" s="42"/>
      <c r="E14" s="44">
        <v>12.5</v>
      </c>
      <c r="F14" s="44">
        <v>41.0</v>
      </c>
      <c r="G14" s="42"/>
      <c r="H14" s="42"/>
      <c r="I14" s="44">
        <v>1.57</v>
      </c>
      <c r="J14" s="44">
        <v>76.0</v>
      </c>
      <c r="M14" s="44">
        <v>9.0</v>
      </c>
      <c r="N14" s="44">
        <v>111.0</v>
      </c>
    </row>
    <row r="15" ht="12.75" customHeight="1">
      <c r="A15" s="45">
        <v>0.2388888888888889</v>
      </c>
      <c r="B15" s="44">
        <v>46.0</v>
      </c>
      <c r="C15" s="23"/>
      <c r="D15" s="42"/>
      <c r="E15" s="44">
        <v>12.4</v>
      </c>
      <c r="F15" s="44">
        <v>46.0</v>
      </c>
      <c r="G15" s="42"/>
      <c r="H15" s="42"/>
      <c r="I15" s="44">
        <v>1.61</v>
      </c>
      <c r="J15" s="44">
        <v>84.0</v>
      </c>
      <c r="M15" s="44">
        <v>9.5</v>
      </c>
      <c r="N15" s="44">
        <v>121.0</v>
      </c>
    </row>
    <row r="16" ht="12.75" customHeight="1">
      <c r="A16" s="45">
        <v>0.2361111111111111</v>
      </c>
      <c r="B16" s="44">
        <v>50.0</v>
      </c>
      <c r="C16" s="23"/>
      <c r="D16" s="42"/>
      <c r="E16" s="44">
        <v>12.3</v>
      </c>
      <c r="F16" s="44">
        <v>51.0</v>
      </c>
      <c r="G16" s="42"/>
      <c r="H16" s="42"/>
      <c r="I16" s="44">
        <v>1.65</v>
      </c>
      <c r="J16" s="44">
        <v>91.0</v>
      </c>
      <c r="M16" s="44">
        <v>10.0</v>
      </c>
      <c r="N16" s="44">
        <v>130.0</v>
      </c>
    </row>
    <row r="17" ht="12.75" customHeight="1">
      <c r="A17" s="45">
        <v>0.23333333333333334</v>
      </c>
      <c r="B17" s="44">
        <v>55.0</v>
      </c>
      <c r="C17" s="23"/>
      <c r="D17" s="42"/>
      <c r="E17" s="44">
        <v>12.2</v>
      </c>
      <c r="F17" s="44">
        <v>56.0</v>
      </c>
      <c r="G17" s="42"/>
      <c r="H17" s="42"/>
      <c r="I17" s="44">
        <v>1.69</v>
      </c>
      <c r="J17" s="44">
        <v>99.0</v>
      </c>
      <c r="M17" s="44">
        <v>10.5</v>
      </c>
      <c r="N17" s="44">
        <v>139.0</v>
      </c>
    </row>
    <row r="18" ht="12.75" customHeight="1">
      <c r="A18" s="45">
        <v>0.23055555555555557</v>
      </c>
      <c r="B18" s="44">
        <v>59.0</v>
      </c>
      <c r="C18" s="23"/>
      <c r="D18" s="42"/>
      <c r="E18" s="44">
        <v>12.1</v>
      </c>
      <c r="F18" s="44">
        <v>61.0</v>
      </c>
      <c r="G18" s="42"/>
      <c r="H18" s="42"/>
      <c r="I18" s="44">
        <v>1.73</v>
      </c>
      <c r="J18" s="44">
        <v>106.0</v>
      </c>
      <c r="M18" s="44">
        <v>11.0</v>
      </c>
      <c r="N18" s="44">
        <v>147.0</v>
      </c>
    </row>
    <row r="19" ht="12.75" customHeight="1">
      <c r="A19" s="45">
        <v>0.22777777777777777</v>
      </c>
      <c r="B19" s="44">
        <v>64.0</v>
      </c>
      <c r="C19" s="23"/>
      <c r="D19" s="42"/>
      <c r="E19" s="44">
        <v>12.0</v>
      </c>
      <c r="F19" s="44">
        <v>66.0</v>
      </c>
      <c r="G19" s="42"/>
      <c r="H19" s="42"/>
      <c r="I19" s="44">
        <v>1.77</v>
      </c>
      <c r="J19" s="44">
        <v>113.0</v>
      </c>
      <c r="M19" s="44">
        <v>11.5</v>
      </c>
      <c r="N19" s="44">
        <v>156.0</v>
      </c>
    </row>
    <row r="20" ht="12.75" customHeight="1">
      <c r="A20" s="45">
        <v>0.225</v>
      </c>
      <c r="B20" s="44">
        <v>68.0</v>
      </c>
      <c r="C20" s="23"/>
      <c r="D20" s="42"/>
      <c r="E20" s="44">
        <v>11.9</v>
      </c>
      <c r="F20" s="44">
        <v>71.0</v>
      </c>
      <c r="G20" s="42"/>
      <c r="H20" s="42"/>
      <c r="I20" s="44">
        <v>1.81</v>
      </c>
      <c r="J20" s="44">
        <v>121.0</v>
      </c>
      <c r="M20" s="44">
        <v>12.0</v>
      </c>
      <c r="N20" s="44">
        <v>164.0</v>
      </c>
    </row>
    <row r="21" ht="12.75" customHeight="1">
      <c r="A21" s="45">
        <v>0.2222222222222222</v>
      </c>
      <c r="B21" s="44">
        <v>73.0</v>
      </c>
      <c r="C21" s="23"/>
      <c r="D21" s="42"/>
      <c r="E21" s="44">
        <v>11.8</v>
      </c>
      <c r="F21" s="44">
        <v>76.0</v>
      </c>
      <c r="G21" s="42"/>
      <c r="H21" s="42"/>
      <c r="I21" s="44">
        <v>1.85</v>
      </c>
      <c r="J21" s="44">
        <v>128.0</v>
      </c>
      <c r="M21" s="44">
        <v>12.5</v>
      </c>
      <c r="N21" s="44">
        <v>173.0</v>
      </c>
    </row>
    <row r="22" ht="12.75" customHeight="1">
      <c r="A22" s="45">
        <v>0.21944444444444444</v>
      </c>
      <c r="B22" s="44">
        <v>78.0</v>
      </c>
      <c r="C22" s="23"/>
      <c r="D22" s="42"/>
      <c r="E22" s="44">
        <v>11.7</v>
      </c>
      <c r="F22" s="44">
        <v>81.0</v>
      </c>
      <c r="G22" s="42"/>
      <c r="H22" s="42"/>
      <c r="I22" s="44">
        <v>1.89</v>
      </c>
      <c r="J22" s="44">
        <v>135.0</v>
      </c>
      <c r="M22" s="44">
        <v>13.0</v>
      </c>
      <c r="N22" s="44">
        <v>181.0</v>
      </c>
    </row>
    <row r="23" ht="12.75" customHeight="1">
      <c r="A23" s="45">
        <v>0.21666666666666667</v>
      </c>
      <c r="B23" s="44">
        <v>83.0</v>
      </c>
      <c r="C23" s="23"/>
      <c r="D23" s="42"/>
      <c r="E23" s="44">
        <v>11.6</v>
      </c>
      <c r="F23" s="44">
        <v>87.0</v>
      </c>
      <c r="G23" s="42"/>
      <c r="H23" s="42"/>
      <c r="I23" s="44">
        <v>1.93</v>
      </c>
      <c r="J23" s="44">
        <v>142.0</v>
      </c>
      <c r="M23" s="44">
        <v>13.5</v>
      </c>
      <c r="N23" s="44">
        <v>188.0</v>
      </c>
    </row>
    <row r="24" ht="12.75" customHeight="1">
      <c r="A24" s="45">
        <v>0.21388888888888888</v>
      </c>
      <c r="B24" s="44">
        <v>88.0</v>
      </c>
      <c r="C24" s="23"/>
      <c r="D24" s="42"/>
      <c r="E24" s="44">
        <v>11.5</v>
      </c>
      <c r="F24" s="44">
        <v>92.0</v>
      </c>
      <c r="G24" s="42"/>
      <c r="H24" s="42"/>
      <c r="I24" s="44">
        <v>1.97</v>
      </c>
      <c r="J24" s="44">
        <v>149.0</v>
      </c>
      <c r="M24" s="44">
        <v>14.0</v>
      </c>
      <c r="N24" s="44">
        <v>196.0</v>
      </c>
    </row>
    <row r="25" ht="12.75" customHeight="1">
      <c r="A25" s="45">
        <v>0.2111111111111111</v>
      </c>
      <c r="B25" s="44">
        <v>94.0</v>
      </c>
      <c r="C25" s="23"/>
      <c r="D25" s="42"/>
      <c r="E25" s="44">
        <v>11.4</v>
      </c>
      <c r="F25" s="44">
        <v>98.0</v>
      </c>
      <c r="G25" s="42"/>
      <c r="H25" s="42"/>
      <c r="I25" s="44">
        <v>2.01</v>
      </c>
      <c r="J25" s="44">
        <v>155.0</v>
      </c>
      <c r="M25" s="44">
        <v>14.5</v>
      </c>
      <c r="N25" s="44">
        <v>204.0</v>
      </c>
    </row>
    <row r="26" ht="12.75" customHeight="1">
      <c r="A26" s="45">
        <v>0.20833333333333334</v>
      </c>
      <c r="B26" s="44">
        <v>99.0</v>
      </c>
      <c r="C26" s="23"/>
      <c r="D26" s="42"/>
      <c r="E26" s="44">
        <v>11.3</v>
      </c>
      <c r="F26" s="44">
        <v>103.0</v>
      </c>
      <c r="G26" s="42"/>
      <c r="H26" s="42"/>
      <c r="I26" s="44">
        <v>2.05</v>
      </c>
      <c r="J26" s="44">
        <v>162.0</v>
      </c>
      <c r="M26" s="44">
        <v>15.0</v>
      </c>
      <c r="N26" s="44">
        <v>211.0</v>
      </c>
    </row>
    <row r="27" ht="12.75" customHeight="1">
      <c r="A27" s="45">
        <v>0.20625</v>
      </c>
      <c r="B27" s="44">
        <v>103.0</v>
      </c>
      <c r="C27" s="23"/>
      <c r="D27" s="42"/>
      <c r="E27" s="44">
        <v>11.2</v>
      </c>
      <c r="F27" s="44">
        <v>109.0</v>
      </c>
      <c r="G27" s="42"/>
      <c r="H27" s="42"/>
      <c r="I27" s="44">
        <v>2.09</v>
      </c>
      <c r="J27" s="44">
        <v>169.0</v>
      </c>
      <c r="M27" s="44">
        <v>15.5</v>
      </c>
      <c r="N27" s="44">
        <v>218.0</v>
      </c>
    </row>
    <row r="28" ht="12.75" customHeight="1">
      <c r="A28" s="45">
        <v>0.20416666666666666</v>
      </c>
      <c r="B28" s="44">
        <v>107.0</v>
      </c>
      <c r="C28" s="23"/>
      <c r="D28" s="42"/>
      <c r="E28" s="44">
        <v>11.1</v>
      </c>
      <c r="F28" s="44">
        <v>115.0</v>
      </c>
      <c r="G28" s="42"/>
      <c r="H28" s="42"/>
      <c r="I28" s="44">
        <v>2.13</v>
      </c>
      <c r="J28" s="44">
        <v>175.0</v>
      </c>
      <c r="M28" s="44">
        <v>16.0</v>
      </c>
      <c r="N28" s="44">
        <v>226.0</v>
      </c>
    </row>
    <row r="29" ht="12.75" customHeight="1">
      <c r="A29" s="45">
        <v>0.20208333333333334</v>
      </c>
      <c r="B29" s="44">
        <v>112.0</v>
      </c>
      <c r="C29" s="23"/>
      <c r="D29" s="42"/>
      <c r="E29" s="44">
        <v>11.0</v>
      </c>
      <c r="F29" s="44">
        <v>121.0</v>
      </c>
      <c r="G29" s="42"/>
      <c r="H29" s="42"/>
      <c r="I29" s="44">
        <v>2.17</v>
      </c>
      <c r="J29" s="44">
        <v>182.0</v>
      </c>
      <c r="M29" s="44">
        <v>16.5</v>
      </c>
      <c r="N29" s="44">
        <v>233.0</v>
      </c>
    </row>
    <row r="30" ht="12.75" customHeight="1">
      <c r="A30" s="45">
        <v>0.2</v>
      </c>
      <c r="B30" s="44">
        <v>116.0</v>
      </c>
      <c r="C30" s="23"/>
      <c r="D30" s="42"/>
      <c r="E30" s="44">
        <v>10.9</v>
      </c>
      <c r="F30" s="44">
        <v>127.0</v>
      </c>
      <c r="G30" s="42"/>
      <c r="H30" s="42"/>
      <c r="I30" s="44">
        <v>2.21</v>
      </c>
      <c r="J30" s="44">
        <v>188.0</v>
      </c>
      <c r="M30" s="44">
        <v>17.0</v>
      </c>
      <c r="N30" s="44">
        <v>240.0</v>
      </c>
    </row>
    <row r="31" ht="12.75" customHeight="1">
      <c r="A31" s="45">
        <v>0.19791666666666666</v>
      </c>
      <c r="B31" s="44">
        <v>121.0</v>
      </c>
      <c r="C31" s="23"/>
      <c r="D31" s="42"/>
      <c r="E31" s="44">
        <v>10.8</v>
      </c>
      <c r="F31" s="44">
        <v>133.0</v>
      </c>
      <c r="G31" s="42"/>
      <c r="H31" s="42"/>
      <c r="I31" s="44">
        <v>2.25</v>
      </c>
      <c r="J31" s="44">
        <v>195.0</v>
      </c>
      <c r="M31" s="44">
        <v>17.5</v>
      </c>
      <c r="N31" s="44">
        <v>247.0</v>
      </c>
    </row>
    <row r="32" ht="12.75" customHeight="1">
      <c r="A32" s="45">
        <v>0.19583333333333333</v>
      </c>
      <c r="B32" s="44">
        <v>125.0</v>
      </c>
      <c r="C32" s="23"/>
      <c r="D32" s="42"/>
      <c r="E32" s="44">
        <v>10.7</v>
      </c>
      <c r="F32" s="44">
        <v>139.0</v>
      </c>
      <c r="G32" s="42"/>
      <c r="H32" s="42"/>
      <c r="I32" s="44">
        <v>2.29</v>
      </c>
      <c r="J32" s="44">
        <v>201.0</v>
      </c>
      <c r="M32" s="44">
        <v>18.0</v>
      </c>
      <c r="N32" s="44">
        <v>253.0</v>
      </c>
    </row>
    <row r="33" ht="12.75" customHeight="1">
      <c r="A33" s="45">
        <v>0.19375</v>
      </c>
      <c r="B33" s="44">
        <v>130.0</v>
      </c>
      <c r="C33" s="23"/>
      <c r="D33" s="42"/>
      <c r="E33" s="44">
        <v>10.6</v>
      </c>
      <c r="F33" s="44">
        <v>146.0</v>
      </c>
      <c r="G33" s="42"/>
      <c r="H33" s="42"/>
      <c r="I33" s="44">
        <v>2.33</v>
      </c>
      <c r="J33" s="44">
        <v>208.0</v>
      </c>
      <c r="M33" s="44">
        <v>18.5</v>
      </c>
      <c r="N33" s="44">
        <v>260.0</v>
      </c>
    </row>
    <row r="34" ht="12.75" customHeight="1">
      <c r="A34" s="45">
        <v>0.19166666666666668</v>
      </c>
      <c r="B34" s="44">
        <v>135.0</v>
      </c>
      <c r="C34" s="23"/>
      <c r="D34" s="42"/>
      <c r="E34" s="44">
        <v>10.5</v>
      </c>
      <c r="F34" s="44">
        <v>152.0</v>
      </c>
      <c r="G34" s="42"/>
      <c r="H34" s="42"/>
      <c r="I34" s="44">
        <v>2.37</v>
      </c>
      <c r="J34" s="44">
        <v>214.0</v>
      </c>
      <c r="M34" s="44">
        <v>19.0</v>
      </c>
      <c r="N34" s="44">
        <v>267.0</v>
      </c>
    </row>
    <row r="35" ht="12.75" customHeight="1">
      <c r="A35" s="45">
        <v>0.18958333333333333</v>
      </c>
      <c r="B35" s="44">
        <v>140.0</v>
      </c>
      <c r="C35" s="23"/>
      <c r="D35" s="42"/>
      <c r="E35" s="44">
        <v>10.4</v>
      </c>
      <c r="F35" s="44">
        <v>159.0</v>
      </c>
      <c r="G35" s="42"/>
      <c r="H35" s="42"/>
      <c r="I35" s="44">
        <v>2.41</v>
      </c>
      <c r="J35" s="44">
        <v>220.0</v>
      </c>
      <c r="M35" s="44">
        <v>19.5</v>
      </c>
      <c r="N35" s="44">
        <v>273.0</v>
      </c>
    </row>
    <row r="36" ht="12.75" customHeight="1">
      <c r="A36" s="45">
        <v>0.1875</v>
      </c>
      <c r="B36" s="44">
        <v>145.0</v>
      </c>
      <c r="C36" s="23"/>
      <c r="D36" s="42"/>
      <c r="E36" s="44">
        <v>10.3</v>
      </c>
      <c r="F36" s="44">
        <v>166.0</v>
      </c>
      <c r="G36" s="42"/>
      <c r="H36" s="42"/>
      <c r="I36" s="44">
        <v>2.45</v>
      </c>
      <c r="J36" s="44">
        <v>226.0</v>
      </c>
      <c r="M36" s="44">
        <v>20.0</v>
      </c>
      <c r="N36" s="44">
        <v>280.0</v>
      </c>
    </row>
    <row r="37" ht="12.75" customHeight="1">
      <c r="A37" s="45">
        <v>0.18541666666666667</v>
      </c>
      <c r="B37" s="44">
        <v>150.0</v>
      </c>
      <c r="C37" s="23"/>
      <c r="D37" s="42"/>
      <c r="E37" s="44">
        <v>10.2</v>
      </c>
      <c r="F37" s="44">
        <v>172.0</v>
      </c>
      <c r="G37" s="42"/>
      <c r="H37" s="42"/>
      <c r="I37" s="44">
        <v>2.49</v>
      </c>
      <c r="J37" s="44">
        <v>232.0</v>
      </c>
      <c r="M37" s="44">
        <v>20.5</v>
      </c>
      <c r="N37" s="44">
        <v>286.0</v>
      </c>
    </row>
    <row r="38" ht="12.75" customHeight="1">
      <c r="A38" s="45">
        <v>0.18333333333333332</v>
      </c>
      <c r="B38" s="44">
        <v>155.0</v>
      </c>
      <c r="C38" s="23"/>
      <c r="D38" s="42"/>
      <c r="E38" s="44">
        <v>10.1</v>
      </c>
      <c r="F38" s="44">
        <v>179.0</v>
      </c>
      <c r="G38" s="42"/>
      <c r="H38" s="42"/>
      <c r="I38" s="44">
        <v>2.53</v>
      </c>
      <c r="J38" s="44">
        <v>238.0</v>
      </c>
      <c r="M38" s="44">
        <v>21.0</v>
      </c>
      <c r="N38" s="44">
        <v>292.0</v>
      </c>
    </row>
    <row r="39" ht="12.75" customHeight="1">
      <c r="A39" s="45">
        <v>0.18125</v>
      </c>
      <c r="B39" s="44">
        <v>161.0</v>
      </c>
      <c r="C39" s="23"/>
      <c r="D39" s="42"/>
      <c r="E39" s="44">
        <v>10.0</v>
      </c>
      <c r="F39" s="44">
        <v>187.0</v>
      </c>
      <c r="G39" s="42"/>
      <c r="H39" s="42"/>
      <c r="I39" s="44">
        <v>2.57</v>
      </c>
      <c r="J39" s="44">
        <v>245.0</v>
      </c>
      <c r="M39" s="44">
        <v>21.5</v>
      </c>
      <c r="N39" s="44">
        <v>299.0</v>
      </c>
    </row>
    <row r="40" ht="12.75" customHeight="1">
      <c r="A40" s="45">
        <v>0.17916666666666667</v>
      </c>
      <c r="B40" s="44">
        <v>166.0</v>
      </c>
      <c r="C40" s="23"/>
      <c r="D40" s="42"/>
      <c r="E40" s="44">
        <v>9.9</v>
      </c>
      <c r="F40" s="44">
        <v>194.0</v>
      </c>
      <c r="G40" s="42"/>
      <c r="H40" s="42"/>
      <c r="I40" s="44">
        <v>2.61</v>
      </c>
      <c r="J40" s="44">
        <v>250.0</v>
      </c>
      <c r="M40" s="44">
        <v>22.0</v>
      </c>
      <c r="N40" s="44">
        <v>305.0</v>
      </c>
    </row>
    <row r="41" ht="12.75" customHeight="1">
      <c r="A41" s="45">
        <v>0.17708333333333334</v>
      </c>
      <c r="B41" s="44">
        <v>172.0</v>
      </c>
      <c r="C41" s="23"/>
      <c r="D41" s="42"/>
      <c r="E41" s="44">
        <v>9.8</v>
      </c>
      <c r="F41" s="44">
        <v>201.0</v>
      </c>
      <c r="G41" s="42"/>
      <c r="H41" s="42"/>
      <c r="I41" s="44">
        <v>2.65</v>
      </c>
      <c r="J41" s="44">
        <v>256.0</v>
      </c>
      <c r="M41" s="44">
        <v>22.5</v>
      </c>
      <c r="N41" s="44">
        <v>311.0</v>
      </c>
    </row>
    <row r="42" ht="12.75" customHeight="1">
      <c r="A42" s="45">
        <v>0.175</v>
      </c>
      <c r="B42" s="44">
        <v>177.0</v>
      </c>
      <c r="C42" s="23"/>
      <c r="D42" s="42"/>
      <c r="E42" s="44">
        <v>9.7</v>
      </c>
      <c r="F42" s="44">
        <v>209.0</v>
      </c>
      <c r="G42" s="42"/>
      <c r="H42" s="42"/>
      <c r="I42" s="44">
        <v>2.69</v>
      </c>
      <c r="J42" s="44">
        <v>262.0</v>
      </c>
      <c r="M42" s="44">
        <v>23.0</v>
      </c>
      <c r="N42" s="44">
        <v>317.0</v>
      </c>
    </row>
    <row r="43" ht="12.75" customHeight="1">
      <c r="A43" s="45">
        <v>0.17291666666666666</v>
      </c>
      <c r="B43" s="44">
        <v>183.0</v>
      </c>
      <c r="C43" s="23"/>
      <c r="D43" s="42"/>
      <c r="E43" s="44">
        <v>9.6</v>
      </c>
      <c r="F43" s="44">
        <v>217.0</v>
      </c>
      <c r="G43" s="42"/>
      <c r="H43" s="42"/>
      <c r="I43" s="44">
        <v>2.73</v>
      </c>
      <c r="J43" s="44">
        <v>268.0</v>
      </c>
      <c r="M43" s="44">
        <v>23.5</v>
      </c>
      <c r="N43" s="44">
        <v>323.0</v>
      </c>
    </row>
    <row r="44" ht="12.75" customHeight="1">
      <c r="A44" s="45">
        <v>0.17083333333333334</v>
      </c>
      <c r="B44" s="44">
        <v>189.0</v>
      </c>
      <c r="C44" s="23"/>
      <c r="D44" s="42"/>
      <c r="E44" s="44">
        <v>9.5</v>
      </c>
      <c r="F44" s="44">
        <v>225.0</v>
      </c>
      <c r="G44" s="42"/>
      <c r="H44" s="42"/>
      <c r="I44" s="44">
        <v>2.77</v>
      </c>
      <c r="J44" s="44">
        <v>274.0</v>
      </c>
      <c r="M44" s="44">
        <v>24.0</v>
      </c>
      <c r="N44" s="44">
        <v>329.0</v>
      </c>
    </row>
    <row r="45" ht="12.75" customHeight="1">
      <c r="A45" s="45">
        <v>0.16875</v>
      </c>
      <c r="B45" s="44">
        <v>196.0</v>
      </c>
      <c r="C45" s="23"/>
      <c r="D45" s="42"/>
      <c r="E45" s="44">
        <v>9.4</v>
      </c>
      <c r="F45" s="44">
        <v>233.0</v>
      </c>
      <c r="G45" s="42"/>
      <c r="H45" s="42"/>
      <c r="I45" s="44">
        <v>2.81</v>
      </c>
      <c r="J45" s="44">
        <v>280.0</v>
      </c>
      <c r="M45" s="44">
        <v>24.5</v>
      </c>
      <c r="N45" s="44">
        <v>334.0</v>
      </c>
    </row>
    <row r="46" ht="12.75" customHeight="1">
      <c r="A46" s="45">
        <v>0.16666666666666666</v>
      </c>
      <c r="B46" s="44">
        <v>202.0</v>
      </c>
      <c r="C46" s="23"/>
      <c r="D46" s="42"/>
      <c r="E46" s="44">
        <v>9.3</v>
      </c>
      <c r="F46" s="44">
        <v>241.0</v>
      </c>
      <c r="G46" s="42"/>
      <c r="H46" s="42"/>
      <c r="I46" s="44">
        <v>2.85</v>
      </c>
      <c r="J46" s="44">
        <v>285.0</v>
      </c>
      <c r="M46" s="44">
        <v>25.0</v>
      </c>
      <c r="N46" s="44">
        <v>340.0</v>
      </c>
    </row>
    <row r="47" ht="12.75" customHeight="1">
      <c r="A47" s="45">
        <v>0.16527777777777777</v>
      </c>
      <c r="B47" s="44">
        <v>206.0</v>
      </c>
      <c r="C47" s="23"/>
      <c r="D47" s="42"/>
      <c r="E47" s="44">
        <v>9.2</v>
      </c>
      <c r="F47" s="44">
        <v>249.0</v>
      </c>
      <c r="G47" s="42"/>
      <c r="H47" s="42"/>
      <c r="I47" s="44">
        <v>2.89</v>
      </c>
      <c r="J47" s="44">
        <v>291.0</v>
      </c>
      <c r="M47" s="44">
        <v>25.5</v>
      </c>
      <c r="N47" s="44">
        <v>346.0</v>
      </c>
    </row>
    <row r="48" ht="12.75" customHeight="1">
      <c r="A48" s="45">
        <v>0.1638888888888889</v>
      </c>
      <c r="B48" s="44">
        <v>211.0</v>
      </c>
      <c r="C48" s="23"/>
      <c r="D48" s="42"/>
      <c r="E48" s="44">
        <v>9.1</v>
      </c>
      <c r="F48" s="44">
        <v>258.0</v>
      </c>
      <c r="G48" s="42"/>
      <c r="H48" s="42"/>
      <c r="I48" s="44">
        <v>2.93</v>
      </c>
      <c r="J48" s="44">
        <v>297.0</v>
      </c>
      <c r="M48" s="44">
        <v>26.0</v>
      </c>
      <c r="N48" s="44">
        <v>351.0</v>
      </c>
    </row>
    <row r="49" ht="12.75" customHeight="1">
      <c r="A49" s="45">
        <v>0.1625</v>
      </c>
      <c r="B49" s="44">
        <v>215.0</v>
      </c>
      <c r="C49" s="23"/>
      <c r="D49" s="42"/>
      <c r="E49" s="44">
        <v>9.0</v>
      </c>
      <c r="F49" s="44">
        <v>267.0</v>
      </c>
      <c r="G49" s="42"/>
      <c r="H49" s="42"/>
      <c r="I49" s="44">
        <v>2.97</v>
      </c>
      <c r="J49" s="44">
        <v>302.0</v>
      </c>
      <c r="M49" s="44">
        <v>26.5</v>
      </c>
      <c r="N49" s="44">
        <v>357.0</v>
      </c>
    </row>
    <row r="50" ht="12.75" customHeight="1">
      <c r="A50" s="45">
        <v>0.16111111111111112</v>
      </c>
      <c r="B50" s="44">
        <v>220.0</v>
      </c>
      <c r="C50" s="23"/>
      <c r="D50" s="42"/>
      <c r="E50" s="44">
        <v>8.9</v>
      </c>
      <c r="F50" s="44">
        <v>276.0</v>
      </c>
      <c r="G50" s="42"/>
      <c r="H50" s="42"/>
      <c r="I50" s="44">
        <v>3.01</v>
      </c>
      <c r="J50" s="44">
        <v>308.0</v>
      </c>
      <c r="M50" s="44">
        <v>27.0</v>
      </c>
      <c r="N50" s="44">
        <v>363.0</v>
      </c>
    </row>
    <row r="51" ht="12.75" customHeight="1">
      <c r="A51" s="45">
        <v>0.1597222222222222</v>
      </c>
      <c r="B51" s="44">
        <v>224.0</v>
      </c>
      <c r="C51" s="23"/>
      <c r="D51" s="42"/>
      <c r="E51" s="44">
        <v>8.8</v>
      </c>
      <c r="F51" s="44">
        <v>285.0</v>
      </c>
      <c r="G51" s="42"/>
      <c r="H51" s="42"/>
      <c r="I51" s="44">
        <v>3.05</v>
      </c>
      <c r="J51" s="44">
        <v>313.0</v>
      </c>
      <c r="M51" s="44">
        <v>27.5</v>
      </c>
      <c r="N51" s="44">
        <v>368.0</v>
      </c>
    </row>
    <row r="52" ht="12.75" customHeight="1">
      <c r="A52" s="45">
        <v>0.15833333333333333</v>
      </c>
      <c r="B52" s="44">
        <v>229.0</v>
      </c>
      <c r="C52" s="23"/>
      <c r="D52" s="42"/>
      <c r="E52" s="44">
        <v>8.7</v>
      </c>
      <c r="F52" s="44">
        <v>294.0</v>
      </c>
      <c r="G52" s="42"/>
      <c r="H52" s="42"/>
      <c r="I52" s="44">
        <v>3.09</v>
      </c>
      <c r="J52" s="44">
        <v>319.0</v>
      </c>
      <c r="M52" s="44">
        <v>28.0</v>
      </c>
      <c r="N52" s="44">
        <v>373.0</v>
      </c>
    </row>
    <row r="53" ht="12.75" customHeight="1">
      <c r="A53" s="45">
        <v>0.15694444444444444</v>
      </c>
      <c r="B53" s="44">
        <v>234.0</v>
      </c>
      <c r="C53" s="23"/>
      <c r="D53" s="42"/>
      <c r="E53" s="44">
        <v>8.6</v>
      </c>
      <c r="F53" s="44">
        <v>304.0</v>
      </c>
      <c r="G53" s="42"/>
      <c r="H53" s="42"/>
      <c r="I53" s="44">
        <v>3.13</v>
      </c>
      <c r="J53" s="44">
        <v>324.0</v>
      </c>
      <c r="M53" s="44">
        <v>28.5</v>
      </c>
      <c r="N53" s="44">
        <v>379.0</v>
      </c>
    </row>
    <row r="54" ht="12.75" customHeight="1">
      <c r="A54" s="45">
        <v>0.15555555555555556</v>
      </c>
      <c r="B54" s="44">
        <v>239.0</v>
      </c>
      <c r="C54" s="23"/>
      <c r="D54" s="42"/>
      <c r="E54" s="44">
        <v>8.5</v>
      </c>
      <c r="F54" s="44">
        <v>314.0</v>
      </c>
      <c r="G54" s="42"/>
      <c r="H54" s="42"/>
      <c r="I54" s="44">
        <v>3.17</v>
      </c>
      <c r="J54" s="44">
        <v>330.0</v>
      </c>
      <c r="M54" s="44">
        <v>29.0</v>
      </c>
      <c r="N54" s="44">
        <v>384.0</v>
      </c>
    </row>
    <row r="55" ht="12.75" customHeight="1">
      <c r="A55" s="45">
        <v>0.15416666666666667</v>
      </c>
      <c r="B55" s="44">
        <v>244.0</v>
      </c>
      <c r="C55" s="23"/>
      <c r="D55" s="42"/>
      <c r="E55" s="44">
        <v>8.4</v>
      </c>
      <c r="F55" s="44">
        <v>324.0</v>
      </c>
      <c r="G55" s="42"/>
      <c r="H55" s="42"/>
      <c r="I55" s="44">
        <v>3.21</v>
      </c>
      <c r="J55" s="44">
        <v>335.0</v>
      </c>
      <c r="M55" s="44">
        <v>29.5</v>
      </c>
      <c r="N55" s="44">
        <v>389.0</v>
      </c>
    </row>
    <row r="56" ht="12.75" customHeight="1">
      <c r="A56" s="45">
        <v>0.1527777777777778</v>
      </c>
      <c r="B56" s="44">
        <v>249.0</v>
      </c>
      <c r="C56" s="23"/>
      <c r="D56" s="42"/>
      <c r="E56" s="44">
        <v>8.3</v>
      </c>
      <c r="F56" s="44">
        <v>334.0</v>
      </c>
      <c r="G56" s="42"/>
      <c r="H56" s="42"/>
      <c r="I56" s="44">
        <v>3.25</v>
      </c>
      <c r="J56" s="44">
        <v>340.0</v>
      </c>
      <c r="M56" s="44">
        <v>30.0</v>
      </c>
      <c r="N56" s="44">
        <v>395.0</v>
      </c>
    </row>
    <row r="57" ht="12.75" customHeight="1">
      <c r="A57" s="45">
        <v>0.15138888888888888</v>
      </c>
      <c r="B57" s="44">
        <v>254.0</v>
      </c>
      <c r="C57" s="23"/>
      <c r="D57" s="42"/>
      <c r="E57" s="44">
        <v>8.2</v>
      </c>
      <c r="F57" s="44">
        <v>344.0</v>
      </c>
      <c r="G57" s="42"/>
      <c r="H57" s="42"/>
      <c r="I57" s="44">
        <v>3.29</v>
      </c>
      <c r="J57" s="44">
        <v>346.0</v>
      </c>
      <c r="M57" s="44">
        <v>30.5</v>
      </c>
      <c r="N57" s="44">
        <v>400.0</v>
      </c>
    </row>
    <row r="58" ht="12.75" customHeight="1">
      <c r="A58" s="45">
        <v>0.15</v>
      </c>
      <c r="B58" s="44">
        <v>259.0</v>
      </c>
      <c r="C58" s="23"/>
      <c r="D58" s="42"/>
      <c r="E58" s="44">
        <v>8.1</v>
      </c>
      <c r="F58" s="44">
        <v>355.0</v>
      </c>
      <c r="G58" s="42"/>
      <c r="H58" s="42"/>
      <c r="I58" s="44">
        <v>3.33</v>
      </c>
      <c r="J58" s="44">
        <v>351.0</v>
      </c>
      <c r="M58" s="44">
        <v>31.0</v>
      </c>
      <c r="N58" s="44">
        <v>405.0</v>
      </c>
    </row>
    <row r="59" ht="12.75" customHeight="1">
      <c r="A59" s="45">
        <v>0.1486111111111111</v>
      </c>
      <c r="B59" s="44">
        <v>265.0</v>
      </c>
      <c r="C59" s="23"/>
      <c r="D59" s="42"/>
      <c r="E59" s="44">
        <v>8.0</v>
      </c>
      <c r="F59" s="44">
        <v>366.0</v>
      </c>
      <c r="G59" s="42"/>
      <c r="H59" s="42"/>
      <c r="I59" s="44">
        <v>3.37</v>
      </c>
      <c r="J59" s="44">
        <v>356.0</v>
      </c>
      <c r="M59" s="44">
        <v>31.5</v>
      </c>
      <c r="N59" s="44">
        <v>410.0</v>
      </c>
    </row>
    <row r="60" ht="12.75" customHeight="1">
      <c r="A60" s="45">
        <v>0.14722222222222223</v>
      </c>
      <c r="B60" s="44">
        <v>270.0</v>
      </c>
      <c r="C60" s="23"/>
      <c r="D60" s="42"/>
      <c r="E60" s="44">
        <v>7.9</v>
      </c>
      <c r="F60" s="44">
        <v>377.0</v>
      </c>
      <c r="G60" s="42"/>
      <c r="H60" s="42"/>
      <c r="I60" s="44">
        <v>3.41</v>
      </c>
      <c r="J60" s="44">
        <v>362.0</v>
      </c>
      <c r="M60" s="44">
        <v>32.0</v>
      </c>
      <c r="N60" s="44">
        <v>415.0</v>
      </c>
    </row>
    <row r="61" ht="12.75" customHeight="1">
      <c r="A61" s="45">
        <v>0.14583333333333334</v>
      </c>
      <c r="B61" s="44">
        <v>276.0</v>
      </c>
      <c r="C61" s="23"/>
      <c r="D61" s="42"/>
      <c r="E61" s="44">
        <v>7.8</v>
      </c>
      <c r="F61" s="44">
        <v>389.0</v>
      </c>
      <c r="G61" s="42"/>
      <c r="H61" s="42"/>
      <c r="I61" s="44">
        <v>3.45</v>
      </c>
      <c r="J61" s="44">
        <v>367.0</v>
      </c>
      <c r="M61" s="44">
        <v>32.5</v>
      </c>
      <c r="N61" s="44">
        <v>420.0</v>
      </c>
    </row>
    <row r="62" ht="12.75" customHeight="1">
      <c r="A62" s="45">
        <v>0.14444444444444443</v>
      </c>
      <c r="B62" s="44">
        <v>281.0</v>
      </c>
      <c r="C62" s="23"/>
      <c r="D62" s="42"/>
      <c r="E62" s="44">
        <v>7.7</v>
      </c>
      <c r="F62" s="44">
        <v>401.0</v>
      </c>
      <c r="G62" s="42"/>
      <c r="H62" s="42"/>
      <c r="I62" s="44">
        <v>3.49</v>
      </c>
      <c r="J62" s="44">
        <v>372.0</v>
      </c>
      <c r="M62" s="44">
        <v>33.0</v>
      </c>
      <c r="N62" s="44">
        <v>425.0</v>
      </c>
    </row>
    <row r="63" ht="12.75" customHeight="1">
      <c r="A63" s="45">
        <v>0.14305555555555555</v>
      </c>
      <c r="B63" s="44">
        <v>287.0</v>
      </c>
      <c r="C63" s="23"/>
      <c r="D63" s="42"/>
      <c r="E63" s="44">
        <v>7.6</v>
      </c>
      <c r="F63" s="44">
        <v>413.0</v>
      </c>
      <c r="G63" s="42"/>
      <c r="H63" s="42"/>
      <c r="I63" s="44">
        <v>3.53</v>
      </c>
      <c r="J63" s="44">
        <v>377.0</v>
      </c>
      <c r="M63" s="44">
        <v>33.5</v>
      </c>
      <c r="N63" s="44">
        <v>430.0</v>
      </c>
    </row>
    <row r="64" ht="12.75" customHeight="1">
      <c r="A64" s="45">
        <v>0.14166666666666666</v>
      </c>
      <c r="B64" s="44">
        <v>293.0</v>
      </c>
      <c r="C64" s="23"/>
      <c r="D64" s="42"/>
      <c r="E64" s="44">
        <v>7.5</v>
      </c>
      <c r="F64" s="44">
        <v>426.0</v>
      </c>
      <c r="G64" s="42"/>
      <c r="H64" s="42"/>
      <c r="I64" s="44">
        <v>3.57</v>
      </c>
      <c r="J64" s="44">
        <v>382.0</v>
      </c>
      <c r="M64" s="44">
        <v>34.0</v>
      </c>
      <c r="N64" s="44">
        <v>435.0</v>
      </c>
    </row>
    <row r="65" ht="12.75" customHeight="1">
      <c r="A65" s="45">
        <v>0.14027777777777778</v>
      </c>
      <c r="B65" s="44">
        <v>299.0</v>
      </c>
      <c r="C65" s="23"/>
      <c r="D65" s="42"/>
      <c r="E65" s="44">
        <v>7.4</v>
      </c>
      <c r="F65" s="44">
        <v>438.0</v>
      </c>
      <c r="G65" s="42"/>
      <c r="H65" s="42"/>
      <c r="I65" s="44">
        <v>3.61</v>
      </c>
      <c r="J65" s="44">
        <v>387.0</v>
      </c>
      <c r="M65" s="44">
        <v>34.5</v>
      </c>
      <c r="N65" s="44">
        <v>440.0</v>
      </c>
    </row>
    <row r="66" ht="12.75" customHeight="1">
      <c r="A66" s="45">
        <v>0.1388888888888889</v>
      </c>
      <c r="B66" s="44">
        <v>305.0</v>
      </c>
      <c r="C66" s="23"/>
      <c r="D66" s="42"/>
      <c r="E66" s="44">
        <v>7.3</v>
      </c>
      <c r="F66" s="44">
        <v>452.0</v>
      </c>
      <c r="G66" s="42"/>
      <c r="H66" s="42"/>
      <c r="I66" s="44">
        <v>3.65</v>
      </c>
      <c r="J66" s="44">
        <v>392.0</v>
      </c>
      <c r="M66" s="44">
        <v>35.0</v>
      </c>
      <c r="N66" s="44">
        <v>445.0</v>
      </c>
    </row>
    <row r="67" ht="12.75" customHeight="1">
      <c r="A67" s="45">
        <v>0.1375</v>
      </c>
      <c r="B67" s="44">
        <v>311.0</v>
      </c>
      <c r="C67" s="23"/>
      <c r="D67" s="42"/>
      <c r="E67" s="44">
        <v>7.2</v>
      </c>
      <c r="F67" s="44">
        <v>465.0</v>
      </c>
      <c r="G67" s="42"/>
      <c r="H67" s="42"/>
      <c r="I67" s="44">
        <v>3.69</v>
      </c>
      <c r="J67" s="44">
        <v>397.0</v>
      </c>
      <c r="M67" s="44">
        <v>35.5</v>
      </c>
      <c r="N67" s="44">
        <v>450.0</v>
      </c>
    </row>
    <row r="68" ht="12.75" customHeight="1">
      <c r="A68" s="45">
        <v>0.1361111111111111</v>
      </c>
      <c r="B68" s="44">
        <v>318.0</v>
      </c>
      <c r="C68" s="23"/>
      <c r="D68" s="42"/>
      <c r="E68" s="44">
        <v>7.1</v>
      </c>
      <c r="F68" s="44">
        <v>479.0</v>
      </c>
      <c r="G68" s="42"/>
      <c r="H68" s="42"/>
      <c r="I68" s="44">
        <v>3.73</v>
      </c>
      <c r="J68" s="44">
        <v>402.0</v>
      </c>
      <c r="M68" s="44">
        <v>36.0</v>
      </c>
      <c r="N68" s="44">
        <v>455.0</v>
      </c>
    </row>
    <row r="69" ht="12.75" customHeight="1">
      <c r="A69" s="45">
        <v>0.13472222222222222</v>
      </c>
      <c r="B69" s="44">
        <v>324.0</v>
      </c>
      <c r="C69" s="23"/>
      <c r="D69" s="42"/>
      <c r="E69" s="44">
        <v>7.0</v>
      </c>
      <c r="F69" s="44">
        <v>493.0</v>
      </c>
      <c r="G69" s="42"/>
      <c r="H69" s="42"/>
      <c r="I69" s="44">
        <v>3.77</v>
      </c>
      <c r="J69" s="44">
        <v>407.0</v>
      </c>
      <c r="M69" s="44">
        <v>36.5</v>
      </c>
      <c r="N69" s="44">
        <v>459.0</v>
      </c>
    </row>
    <row r="70" ht="12.75" customHeight="1">
      <c r="A70" s="45">
        <v>0.13333333333333333</v>
      </c>
      <c r="B70" s="44">
        <v>331.0</v>
      </c>
      <c r="C70" s="23"/>
      <c r="D70" s="42"/>
      <c r="E70" s="44">
        <v>6.9</v>
      </c>
      <c r="F70" s="44">
        <v>508.0</v>
      </c>
      <c r="G70" s="42"/>
      <c r="H70" s="42"/>
      <c r="I70" s="44">
        <v>3.81</v>
      </c>
      <c r="J70" s="44">
        <v>412.0</v>
      </c>
      <c r="M70" s="44">
        <v>37.0</v>
      </c>
      <c r="N70" s="44">
        <v>464.0</v>
      </c>
    </row>
    <row r="71" ht="12.75" customHeight="1">
      <c r="A71" s="45">
        <v>0.13194444444444445</v>
      </c>
      <c r="B71" s="44">
        <v>338.0</v>
      </c>
      <c r="C71" s="23"/>
      <c r="D71" s="42"/>
      <c r="E71" s="44">
        <v>6.8</v>
      </c>
      <c r="F71" s="44">
        <v>523.0</v>
      </c>
      <c r="G71" s="42"/>
      <c r="H71" s="42"/>
      <c r="I71" s="44">
        <v>3.85</v>
      </c>
      <c r="J71" s="44">
        <v>417.0</v>
      </c>
      <c r="M71" s="44">
        <v>37.5</v>
      </c>
      <c r="N71" s="44">
        <v>469.0</v>
      </c>
    </row>
    <row r="72" ht="12.75" customHeight="1">
      <c r="A72" s="45">
        <v>0.13055555555555556</v>
      </c>
      <c r="B72" s="44">
        <v>344.0</v>
      </c>
      <c r="C72" s="23"/>
      <c r="D72" s="42"/>
      <c r="E72" s="44">
        <v>6.7</v>
      </c>
      <c r="F72" s="44">
        <v>538.0</v>
      </c>
      <c r="G72" s="42"/>
      <c r="H72" s="42"/>
      <c r="I72" s="44">
        <v>3.89</v>
      </c>
      <c r="J72" s="44">
        <v>422.0</v>
      </c>
      <c r="M72" s="44">
        <v>38.0</v>
      </c>
      <c r="N72" s="44">
        <v>473.0</v>
      </c>
    </row>
    <row r="73" ht="12.75" customHeight="1">
      <c r="A73" s="45">
        <v>0.12916666666666668</v>
      </c>
      <c r="B73" s="44">
        <v>352.0</v>
      </c>
      <c r="C73" s="23"/>
      <c r="D73" s="42"/>
      <c r="E73" s="44">
        <v>6.6</v>
      </c>
      <c r="F73" s="44">
        <v>554.0</v>
      </c>
      <c r="G73" s="42"/>
      <c r="H73" s="42"/>
      <c r="I73" s="44">
        <v>3.93</v>
      </c>
      <c r="J73" s="44">
        <v>427.0</v>
      </c>
      <c r="M73" s="44">
        <v>38.5</v>
      </c>
      <c r="N73" s="44">
        <v>478.0</v>
      </c>
    </row>
    <row r="74" ht="12.75" customHeight="1">
      <c r="A74" s="45">
        <v>0.12777777777777777</v>
      </c>
      <c r="B74" s="44">
        <v>359.0</v>
      </c>
      <c r="C74" s="23"/>
      <c r="D74" s="42"/>
      <c r="E74" s="44">
        <v>6.5</v>
      </c>
      <c r="F74" s="44">
        <v>571.0</v>
      </c>
      <c r="G74" s="42"/>
      <c r="H74" s="42"/>
      <c r="I74" s="44">
        <v>3.97</v>
      </c>
      <c r="J74" s="44">
        <v>432.0</v>
      </c>
      <c r="M74" s="44">
        <v>39.0</v>
      </c>
      <c r="N74" s="44">
        <v>483.0</v>
      </c>
    </row>
    <row r="75" ht="12.75" customHeight="1">
      <c r="A75" s="45">
        <v>0.12638888888888888</v>
      </c>
      <c r="B75" s="44">
        <v>366.0</v>
      </c>
      <c r="C75" s="23"/>
      <c r="D75" s="42"/>
      <c r="E75" s="44">
        <v>6.4</v>
      </c>
      <c r="F75" s="44">
        <v>588.0</v>
      </c>
      <c r="G75" s="42"/>
      <c r="H75" s="42"/>
      <c r="I75" s="44">
        <v>4.01</v>
      </c>
      <c r="J75" s="44">
        <v>437.0</v>
      </c>
      <c r="M75" s="44">
        <v>39.5</v>
      </c>
      <c r="N75" s="44">
        <v>487.0</v>
      </c>
    </row>
    <row r="76" ht="12.75" customHeight="1">
      <c r="A76" s="45">
        <v>0.125</v>
      </c>
      <c r="B76" s="44">
        <v>374.0</v>
      </c>
      <c r="C76" s="23"/>
      <c r="D76" s="42"/>
      <c r="E76" s="44">
        <v>6.3</v>
      </c>
      <c r="F76" s="44">
        <v>605.0</v>
      </c>
      <c r="G76" s="42"/>
      <c r="H76" s="42"/>
      <c r="I76" s="44">
        <v>4.05</v>
      </c>
      <c r="J76" s="44">
        <v>441.0</v>
      </c>
      <c r="M76" s="44">
        <v>40.0</v>
      </c>
      <c r="N76" s="44">
        <v>492.0</v>
      </c>
    </row>
    <row r="77" ht="12.75" customHeight="1">
      <c r="A77" s="45">
        <v>0.12430555555555556</v>
      </c>
      <c r="B77" s="44">
        <v>378.0</v>
      </c>
      <c r="C77" s="23"/>
      <c r="D77" s="42"/>
      <c r="E77" s="44"/>
      <c r="F77" s="44"/>
      <c r="G77" s="42"/>
      <c r="H77" s="42"/>
      <c r="I77" s="44">
        <v>4.09</v>
      </c>
      <c r="J77" s="44">
        <v>446.0</v>
      </c>
      <c r="M77" s="44">
        <v>40.5</v>
      </c>
      <c r="N77" s="44">
        <v>496.0</v>
      </c>
    </row>
    <row r="78" ht="12.75" customHeight="1">
      <c r="A78" s="45">
        <v>0.12361111111111112</v>
      </c>
      <c r="B78" s="44">
        <v>381.0</v>
      </c>
      <c r="C78" s="23"/>
      <c r="D78" s="42"/>
      <c r="E78" s="44"/>
      <c r="F78" s="44"/>
      <c r="G78" s="42"/>
      <c r="H78" s="42"/>
      <c r="I78" s="44">
        <v>4.13</v>
      </c>
      <c r="J78" s="44">
        <v>451.0</v>
      </c>
      <c r="M78" s="44">
        <v>41.0</v>
      </c>
      <c r="N78" s="44">
        <v>501.0</v>
      </c>
    </row>
    <row r="79" ht="12.75" customHeight="1">
      <c r="A79" s="45">
        <v>0.12291666666666666</v>
      </c>
      <c r="B79" s="44">
        <v>385.0</v>
      </c>
      <c r="C79" s="23"/>
      <c r="D79" s="42"/>
      <c r="E79" s="44"/>
      <c r="F79" s="44"/>
      <c r="G79" s="42"/>
      <c r="H79" s="42"/>
      <c r="I79" s="44">
        <v>4.17</v>
      </c>
      <c r="J79" s="44">
        <v>456.0</v>
      </c>
      <c r="M79" s="44">
        <v>41.5</v>
      </c>
      <c r="N79" s="44">
        <v>505.0</v>
      </c>
    </row>
    <row r="80" ht="12.75" customHeight="1">
      <c r="A80" s="45">
        <v>0.12222222222222222</v>
      </c>
      <c r="B80" s="44">
        <v>389.0</v>
      </c>
      <c r="C80" s="23"/>
      <c r="D80" s="42"/>
      <c r="E80" s="44"/>
      <c r="F80" s="44"/>
      <c r="G80" s="42"/>
      <c r="H80" s="42"/>
      <c r="I80" s="44">
        <v>4.21</v>
      </c>
      <c r="J80" s="44">
        <v>460.0</v>
      </c>
      <c r="M80" s="44">
        <v>42.0</v>
      </c>
      <c r="N80" s="44">
        <v>510.0</v>
      </c>
    </row>
    <row r="81" ht="12.75" customHeight="1">
      <c r="A81" s="45">
        <v>0.12152777777777778</v>
      </c>
      <c r="B81" s="44">
        <v>393.0</v>
      </c>
      <c r="C81" s="23"/>
      <c r="D81" s="42"/>
      <c r="E81" s="44"/>
      <c r="F81" s="44"/>
      <c r="G81" s="42"/>
      <c r="H81" s="42"/>
      <c r="I81" s="44">
        <v>4.25</v>
      </c>
      <c r="J81" s="44">
        <v>465.0</v>
      </c>
      <c r="M81" s="44">
        <v>42.5</v>
      </c>
      <c r="N81" s="44">
        <v>514.0</v>
      </c>
    </row>
    <row r="82" ht="12.75" customHeight="1">
      <c r="A82" s="45">
        <v>0.12083333333333333</v>
      </c>
      <c r="B82" s="44">
        <v>397.0</v>
      </c>
      <c r="C82" s="23"/>
      <c r="D82" s="42"/>
      <c r="E82" s="44"/>
      <c r="F82" s="44"/>
      <c r="G82" s="42"/>
      <c r="H82" s="42"/>
      <c r="I82" s="44">
        <v>4.29</v>
      </c>
      <c r="J82" s="44">
        <v>470.0</v>
      </c>
      <c r="M82" s="44">
        <v>43.0</v>
      </c>
      <c r="N82" s="44">
        <v>518.0</v>
      </c>
    </row>
    <row r="83" ht="12.75" customHeight="1">
      <c r="A83" s="45">
        <v>0.12013888888888889</v>
      </c>
      <c r="B83" s="44">
        <v>402.0</v>
      </c>
      <c r="C83" s="23"/>
      <c r="D83" s="42"/>
      <c r="E83" s="44"/>
      <c r="F83" s="44"/>
      <c r="G83" s="42"/>
      <c r="H83" s="42"/>
      <c r="I83" s="44">
        <v>4.33</v>
      </c>
      <c r="J83" s="44">
        <v>474.0</v>
      </c>
      <c r="M83" s="44">
        <v>43.5</v>
      </c>
      <c r="N83" s="44">
        <v>523.0</v>
      </c>
    </row>
    <row r="84" ht="12.75" customHeight="1">
      <c r="A84" s="45">
        <v>0.11944444444444445</v>
      </c>
      <c r="B84" s="44">
        <v>406.0</v>
      </c>
      <c r="C84" s="23"/>
      <c r="D84" s="42"/>
      <c r="E84" s="44"/>
      <c r="F84" s="44"/>
      <c r="G84" s="42"/>
      <c r="H84" s="42"/>
      <c r="I84" s="44">
        <v>4.37</v>
      </c>
      <c r="J84" s="44">
        <v>479.0</v>
      </c>
      <c r="M84" s="44">
        <v>44.0</v>
      </c>
      <c r="N84" s="44">
        <v>527.0</v>
      </c>
    </row>
    <row r="85" ht="12.75" customHeight="1">
      <c r="A85" s="45">
        <v>0.11875</v>
      </c>
      <c r="B85" s="44">
        <v>410.0</v>
      </c>
      <c r="C85" s="23"/>
      <c r="D85" s="42"/>
      <c r="E85" s="44"/>
      <c r="F85" s="44"/>
      <c r="G85" s="42"/>
      <c r="H85" s="42"/>
      <c r="I85" s="44">
        <v>4.41</v>
      </c>
      <c r="J85" s="44">
        <v>483.0</v>
      </c>
      <c r="M85" s="44">
        <v>44.5</v>
      </c>
      <c r="N85" s="44">
        <v>531.0</v>
      </c>
    </row>
    <row r="86" ht="12.75" customHeight="1">
      <c r="A86" s="45">
        <v>0.11805555555555555</v>
      </c>
      <c r="B86" s="44">
        <v>414.0</v>
      </c>
      <c r="C86" s="23"/>
      <c r="D86" s="42"/>
      <c r="E86" s="44"/>
      <c r="F86" s="44"/>
      <c r="G86" s="42"/>
      <c r="H86" s="42"/>
      <c r="I86" s="44">
        <v>4.45</v>
      </c>
      <c r="J86" s="44">
        <v>488.0</v>
      </c>
      <c r="M86" s="44">
        <v>45.0</v>
      </c>
      <c r="N86" s="44">
        <v>536.0</v>
      </c>
    </row>
    <row r="87" ht="12.75" customHeight="1">
      <c r="A87" s="45">
        <v>0.11736111111111111</v>
      </c>
      <c r="B87" s="44">
        <v>418.0</v>
      </c>
      <c r="C87" s="23"/>
      <c r="D87" s="42"/>
      <c r="E87" s="44"/>
      <c r="F87" s="44"/>
      <c r="G87" s="42"/>
      <c r="H87" s="42"/>
      <c r="I87" s="44">
        <v>4.49</v>
      </c>
      <c r="J87" s="44">
        <v>493.0</v>
      </c>
      <c r="M87" s="44">
        <v>45.5</v>
      </c>
      <c r="N87" s="44">
        <v>540.0</v>
      </c>
    </row>
    <row r="88" ht="12.75" customHeight="1">
      <c r="A88" s="45">
        <v>0.11666666666666667</v>
      </c>
      <c r="B88" s="44">
        <v>423.0</v>
      </c>
      <c r="C88" s="23"/>
      <c r="D88" s="42"/>
      <c r="E88" s="44"/>
      <c r="F88" s="44"/>
      <c r="G88" s="42"/>
      <c r="H88" s="42"/>
      <c r="I88" s="44">
        <v>4.53</v>
      </c>
      <c r="J88" s="44">
        <v>497.0</v>
      </c>
      <c r="M88" s="44">
        <v>46.0</v>
      </c>
      <c r="N88" s="44">
        <v>544.0</v>
      </c>
    </row>
    <row r="89" ht="12.75" customHeight="1">
      <c r="A89" s="45">
        <v>0.11597222222222223</v>
      </c>
      <c r="B89" s="44">
        <v>427.0</v>
      </c>
      <c r="C89" s="23"/>
      <c r="D89" s="42"/>
      <c r="E89" s="44"/>
      <c r="F89" s="44"/>
      <c r="G89" s="42"/>
      <c r="H89" s="42"/>
      <c r="I89" s="44">
        <v>4.57</v>
      </c>
      <c r="J89" s="44">
        <v>502.0</v>
      </c>
      <c r="M89" s="44">
        <v>46.5</v>
      </c>
      <c r="N89" s="44">
        <v>548.0</v>
      </c>
    </row>
    <row r="90" ht="12.75" customHeight="1">
      <c r="A90" s="45">
        <v>0.11527777777777778</v>
      </c>
      <c r="B90" s="44">
        <v>432.0</v>
      </c>
      <c r="C90" s="23"/>
      <c r="D90" s="42"/>
      <c r="E90" s="44"/>
      <c r="F90" s="44"/>
      <c r="G90" s="42"/>
      <c r="H90" s="42"/>
      <c r="I90" s="44">
        <v>4.61</v>
      </c>
      <c r="J90" s="44">
        <v>506.0</v>
      </c>
      <c r="M90" s="44">
        <v>47.0</v>
      </c>
      <c r="N90" s="44">
        <v>552.0</v>
      </c>
    </row>
    <row r="91" ht="12.75" customHeight="1">
      <c r="A91" s="45">
        <v>0.11458333333333333</v>
      </c>
      <c r="B91" s="44">
        <v>436.0</v>
      </c>
      <c r="C91" s="23"/>
      <c r="D91" s="42"/>
      <c r="E91" s="44"/>
      <c r="F91" s="44"/>
      <c r="G91" s="42"/>
      <c r="H91" s="42"/>
      <c r="I91" s="44">
        <v>4.65</v>
      </c>
      <c r="J91" s="44">
        <v>511.0</v>
      </c>
      <c r="M91" s="44">
        <v>47.5</v>
      </c>
      <c r="N91" s="44">
        <v>557.0</v>
      </c>
    </row>
    <row r="92" ht="12.75" customHeight="1">
      <c r="A92" s="45">
        <v>0.11388888888888889</v>
      </c>
      <c r="B92" s="44">
        <v>441.0</v>
      </c>
      <c r="C92" s="23"/>
      <c r="D92" s="42"/>
      <c r="E92" s="44"/>
      <c r="F92" s="44"/>
      <c r="G92" s="42"/>
      <c r="H92" s="42"/>
      <c r="I92" s="44">
        <v>4.69</v>
      </c>
      <c r="J92" s="44">
        <v>515.0</v>
      </c>
      <c r="M92" s="44">
        <v>48.0</v>
      </c>
      <c r="N92" s="44">
        <v>561.0</v>
      </c>
    </row>
    <row r="93" ht="12.75" customHeight="1">
      <c r="A93" s="45">
        <v>0.11319444444444444</v>
      </c>
      <c r="B93" s="44">
        <v>445.0</v>
      </c>
      <c r="C93" s="23"/>
      <c r="D93" s="42"/>
      <c r="E93" s="44"/>
      <c r="F93" s="44"/>
      <c r="G93" s="42"/>
      <c r="H93" s="42"/>
      <c r="I93" s="44">
        <v>4.73</v>
      </c>
      <c r="J93" s="44">
        <v>519.0</v>
      </c>
      <c r="M93" s="44">
        <v>48.5</v>
      </c>
      <c r="N93" s="44">
        <v>565.0</v>
      </c>
    </row>
    <row r="94" ht="12.75" customHeight="1">
      <c r="A94" s="45">
        <v>0.1125</v>
      </c>
      <c r="B94" s="44">
        <v>450.0</v>
      </c>
      <c r="C94" s="23"/>
      <c r="D94" s="42"/>
      <c r="E94" s="44"/>
      <c r="F94" s="44"/>
      <c r="G94" s="42"/>
      <c r="H94" s="42"/>
      <c r="I94" s="44">
        <v>4.77</v>
      </c>
      <c r="J94" s="44">
        <v>524.0</v>
      </c>
      <c r="M94" s="44">
        <v>49.0</v>
      </c>
      <c r="N94" s="44">
        <v>569.0</v>
      </c>
    </row>
    <row r="95" ht="12.75" customHeight="1">
      <c r="A95" s="45">
        <v>0.11180555555555556</v>
      </c>
      <c r="B95" s="44">
        <v>455.0</v>
      </c>
      <c r="C95" s="23"/>
      <c r="D95" s="42"/>
      <c r="E95" s="44"/>
      <c r="F95" s="44"/>
      <c r="G95" s="42"/>
      <c r="H95" s="42"/>
      <c r="I95" s="44">
        <v>4.81</v>
      </c>
      <c r="J95" s="44">
        <v>528.0</v>
      </c>
      <c r="M95" s="44">
        <v>49.5</v>
      </c>
      <c r="N95" s="44">
        <v>573.0</v>
      </c>
    </row>
    <row r="96" ht="12.75" customHeight="1">
      <c r="A96" s="45">
        <v>0.1111111111111111</v>
      </c>
      <c r="B96" s="44">
        <v>460.0</v>
      </c>
      <c r="C96" s="23"/>
      <c r="D96" s="42"/>
      <c r="E96" s="44"/>
      <c r="F96" s="44"/>
      <c r="G96" s="42"/>
      <c r="H96" s="42"/>
      <c r="I96" s="44">
        <v>4.85</v>
      </c>
      <c r="J96" s="44">
        <v>533.0</v>
      </c>
      <c r="M96" s="44">
        <v>50.0</v>
      </c>
      <c r="N96" s="44">
        <v>577.0</v>
      </c>
    </row>
    <row r="97" ht="12.75" customHeight="1">
      <c r="A97" s="45">
        <v>0.11041666666666666</v>
      </c>
      <c r="B97" s="44">
        <v>464.0</v>
      </c>
      <c r="C97" s="23"/>
      <c r="D97" s="42"/>
      <c r="E97" s="44"/>
      <c r="F97" s="44"/>
      <c r="G97" s="42"/>
      <c r="H97" s="42"/>
      <c r="I97" s="44">
        <v>4.89</v>
      </c>
      <c r="J97" s="44">
        <v>537.0</v>
      </c>
      <c r="M97" s="44">
        <v>50.5</v>
      </c>
      <c r="N97" s="44">
        <v>581.0</v>
      </c>
    </row>
    <row r="98" ht="12.75" customHeight="1">
      <c r="A98" s="45">
        <v>0.10972222222222222</v>
      </c>
      <c r="B98" s="44">
        <v>469.0</v>
      </c>
      <c r="C98" s="23"/>
      <c r="D98" s="42"/>
      <c r="E98" s="44"/>
      <c r="F98" s="44"/>
      <c r="G98" s="42"/>
      <c r="H98" s="42"/>
      <c r="I98" s="44">
        <v>4.93</v>
      </c>
      <c r="J98" s="44">
        <v>541.0</v>
      </c>
      <c r="M98" s="44">
        <v>51.0</v>
      </c>
      <c r="N98" s="44">
        <v>585.0</v>
      </c>
    </row>
    <row r="99" ht="12.75" customHeight="1">
      <c r="A99" s="45">
        <v>0.10902777777777778</v>
      </c>
      <c r="B99" s="44">
        <v>474.0</v>
      </c>
      <c r="C99" s="23"/>
      <c r="D99" s="42"/>
      <c r="E99" s="44"/>
      <c r="F99" s="44"/>
      <c r="G99" s="42"/>
      <c r="H99" s="42"/>
      <c r="I99" s="44">
        <v>4.97</v>
      </c>
      <c r="J99" s="44">
        <v>546.0</v>
      </c>
      <c r="M99" s="44">
        <v>51.5</v>
      </c>
      <c r="N99" s="44">
        <v>589.0</v>
      </c>
    </row>
    <row r="100" ht="12.75" customHeight="1">
      <c r="A100" s="45">
        <v>0.10833333333333334</v>
      </c>
      <c r="B100" s="44">
        <v>479.0</v>
      </c>
      <c r="C100" s="23"/>
      <c r="D100" s="42"/>
      <c r="E100" s="44"/>
      <c r="F100" s="44"/>
      <c r="G100" s="42"/>
      <c r="H100" s="42"/>
      <c r="I100" s="44">
        <v>5.01</v>
      </c>
      <c r="J100" s="44">
        <v>550.0</v>
      </c>
      <c r="M100" s="44">
        <v>52.0</v>
      </c>
      <c r="N100" s="44">
        <v>593.0</v>
      </c>
    </row>
    <row r="101" ht="12.75" customHeight="1">
      <c r="A101" s="45">
        <v>0.1076388888888889</v>
      </c>
      <c r="B101" s="44">
        <v>485.0</v>
      </c>
      <c r="C101" s="23"/>
      <c r="D101" s="42"/>
      <c r="E101" s="44"/>
      <c r="F101" s="44"/>
      <c r="G101" s="42"/>
      <c r="H101" s="42"/>
      <c r="I101" s="44">
        <v>5.05</v>
      </c>
      <c r="J101" s="44">
        <v>554.0</v>
      </c>
      <c r="M101" s="44">
        <v>52.5</v>
      </c>
      <c r="N101" s="44">
        <v>597.0</v>
      </c>
    </row>
    <row r="102" ht="12.75" customHeight="1">
      <c r="A102" s="45">
        <v>0.10694444444444444</v>
      </c>
      <c r="B102" s="44">
        <v>490.0</v>
      </c>
      <c r="C102" s="23"/>
      <c r="D102" s="42"/>
      <c r="E102" s="42"/>
      <c r="F102" s="42"/>
      <c r="G102" s="42"/>
      <c r="H102" s="42"/>
      <c r="I102" s="44">
        <v>5.09</v>
      </c>
      <c r="J102" s="44">
        <v>558.0</v>
      </c>
      <c r="M102" s="44">
        <v>53.0</v>
      </c>
      <c r="N102" s="44">
        <v>601.0</v>
      </c>
    </row>
    <row r="103" ht="12.75" customHeight="1">
      <c r="A103" s="45">
        <v>0.10625</v>
      </c>
      <c r="B103" s="44">
        <v>495.0</v>
      </c>
      <c r="C103" s="23"/>
      <c r="D103" s="42"/>
      <c r="E103" s="42"/>
      <c r="F103" s="42"/>
      <c r="G103" s="42"/>
      <c r="H103" s="42"/>
      <c r="I103" s="44">
        <v>5.13</v>
      </c>
      <c r="J103" s="44">
        <v>563.0</v>
      </c>
      <c r="M103" s="44">
        <v>53.5</v>
      </c>
      <c r="N103" s="44">
        <v>605.0</v>
      </c>
    </row>
    <row r="104" ht="12.75" customHeight="1">
      <c r="A104" s="45">
        <v>0.10555555555555556</v>
      </c>
      <c r="B104" s="44">
        <v>500.0</v>
      </c>
      <c r="C104" s="23"/>
      <c r="D104" s="42"/>
      <c r="E104" s="42"/>
      <c r="F104" s="42"/>
      <c r="G104" s="42"/>
      <c r="H104" s="42"/>
      <c r="I104" s="44">
        <v>5.17</v>
      </c>
      <c r="J104" s="44">
        <v>567.0</v>
      </c>
      <c r="M104" s="44">
        <v>54.0</v>
      </c>
      <c r="N104" s="44">
        <v>609.0</v>
      </c>
    </row>
    <row r="105" ht="12.75" customHeight="1">
      <c r="A105" s="45">
        <v>0.10486111111111111</v>
      </c>
      <c r="B105" s="44">
        <v>506.0</v>
      </c>
      <c r="C105" s="23"/>
      <c r="D105" s="42"/>
      <c r="E105" s="42"/>
      <c r="F105" s="42"/>
      <c r="G105" s="42"/>
      <c r="H105" s="42"/>
      <c r="I105" s="44">
        <v>5.21</v>
      </c>
      <c r="J105" s="44">
        <v>571.0</v>
      </c>
      <c r="M105" s="44">
        <v>54.5</v>
      </c>
      <c r="N105" s="44">
        <v>613.0</v>
      </c>
    </row>
    <row r="106" ht="12.75" customHeight="1">
      <c r="A106" s="45">
        <v>0.10416666666666667</v>
      </c>
      <c r="B106" s="44">
        <v>511.0</v>
      </c>
      <c r="C106" s="23"/>
      <c r="D106" s="42"/>
      <c r="E106" s="42"/>
      <c r="F106" s="42"/>
      <c r="G106" s="42"/>
      <c r="H106" s="42"/>
      <c r="I106" s="44">
        <v>5.25</v>
      </c>
      <c r="J106" s="44">
        <v>575.0</v>
      </c>
      <c r="M106" s="44">
        <v>55.0</v>
      </c>
      <c r="N106" s="44">
        <v>617.0</v>
      </c>
    </row>
    <row r="107" ht="12.75" customHeight="1">
      <c r="A107" s="45">
        <v>0.10347222222222222</v>
      </c>
      <c r="B107" s="44">
        <v>517.0</v>
      </c>
      <c r="C107" s="23"/>
      <c r="D107" s="42"/>
      <c r="E107" s="42"/>
      <c r="F107" s="42"/>
      <c r="G107" s="42"/>
      <c r="H107" s="42"/>
      <c r="I107" s="44">
        <v>5.29</v>
      </c>
      <c r="J107" s="44">
        <v>580.0</v>
      </c>
      <c r="M107" s="44">
        <v>55.5</v>
      </c>
      <c r="N107" s="44">
        <v>620.0</v>
      </c>
    </row>
    <row r="108" ht="12.75" customHeight="1">
      <c r="A108" s="45">
        <v>0.10277777777777777</v>
      </c>
      <c r="B108" s="44">
        <v>522.0</v>
      </c>
      <c r="C108" s="23"/>
      <c r="D108" s="42"/>
      <c r="E108" s="42"/>
      <c r="F108" s="42"/>
      <c r="G108" s="42"/>
      <c r="H108" s="42"/>
      <c r="I108" s="44">
        <v>5.33</v>
      </c>
      <c r="J108" s="44">
        <v>584.0</v>
      </c>
      <c r="M108" s="44">
        <v>56.0</v>
      </c>
      <c r="N108" s="44">
        <v>624.0</v>
      </c>
    </row>
    <row r="109" ht="12.75" customHeight="1">
      <c r="A109" s="45">
        <v>0.10208333333333333</v>
      </c>
      <c r="B109" s="44">
        <v>528.0</v>
      </c>
      <c r="C109" s="23"/>
      <c r="D109" s="42"/>
      <c r="E109" s="42"/>
      <c r="F109" s="42"/>
      <c r="G109" s="42"/>
      <c r="H109" s="42"/>
      <c r="I109" s="44">
        <v>5.37</v>
      </c>
      <c r="J109" s="44">
        <v>588.0</v>
      </c>
      <c r="M109" s="44">
        <v>56.5</v>
      </c>
      <c r="N109" s="44">
        <v>628.0</v>
      </c>
    </row>
    <row r="110" ht="12.75" customHeight="1">
      <c r="A110" s="45">
        <v>0.10138888888888889</v>
      </c>
      <c r="B110" s="44">
        <v>534.0</v>
      </c>
      <c r="C110" s="23"/>
      <c r="D110" s="42"/>
      <c r="E110" s="42"/>
      <c r="F110" s="42"/>
      <c r="G110" s="42"/>
      <c r="H110" s="42"/>
      <c r="I110" s="44">
        <v>5.41</v>
      </c>
      <c r="J110" s="44">
        <v>592.0</v>
      </c>
      <c r="M110" s="44">
        <v>57.0</v>
      </c>
      <c r="N110" s="44">
        <v>632.0</v>
      </c>
    </row>
    <row r="111" ht="12.75" customHeight="1">
      <c r="A111" s="45">
        <v>0.10069444444444445</v>
      </c>
      <c r="B111" s="44">
        <v>540.0</v>
      </c>
      <c r="C111" s="23"/>
      <c r="D111" s="42"/>
      <c r="E111" s="42"/>
      <c r="F111" s="42"/>
      <c r="G111" s="42"/>
      <c r="H111" s="42"/>
      <c r="I111" s="44">
        <v>5.45</v>
      </c>
      <c r="J111" s="44">
        <v>596.0</v>
      </c>
      <c r="M111" s="44">
        <v>57.5</v>
      </c>
      <c r="N111" s="44">
        <v>636.0</v>
      </c>
    </row>
    <row r="112" ht="12.75" customHeight="1">
      <c r="A112" s="45">
        <v>0.1</v>
      </c>
      <c r="B112" s="44">
        <v>545.0</v>
      </c>
      <c r="C112" s="23"/>
      <c r="D112" s="42"/>
      <c r="E112" s="42"/>
      <c r="F112" s="42"/>
      <c r="G112" s="42"/>
      <c r="H112" s="42"/>
      <c r="I112" s="44">
        <v>5.49</v>
      </c>
      <c r="J112" s="44">
        <v>600.0</v>
      </c>
      <c r="M112" s="44">
        <v>58.0</v>
      </c>
      <c r="N112" s="44">
        <v>639.0</v>
      </c>
    </row>
    <row r="113" ht="12.75" customHeight="1">
      <c r="A113" s="45">
        <v>0.09930555555555555</v>
      </c>
      <c r="B113" s="44">
        <v>551.0</v>
      </c>
      <c r="C113" s="23"/>
      <c r="D113" s="42"/>
      <c r="E113" s="42"/>
      <c r="F113" s="42"/>
      <c r="G113" s="42"/>
      <c r="H113" s="42"/>
      <c r="I113" s="44">
        <v>5.53</v>
      </c>
      <c r="J113" s="44">
        <v>604.0</v>
      </c>
      <c r="M113" s="44">
        <v>58.5</v>
      </c>
      <c r="N113" s="44">
        <v>643.0</v>
      </c>
    </row>
    <row r="114" ht="12.75" customHeight="1">
      <c r="A114" s="45">
        <v>0.09861111111111111</v>
      </c>
      <c r="B114" s="44">
        <v>558.0</v>
      </c>
      <c r="C114" s="23"/>
      <c r="D114" s="42"/>
      <c r="E114" s="42"/>
      <c r="F114" s="42"/>
      <c r="G114" s="42"/>
      <c r="H114" s="42"/>
      <c r="I114" s="44">
        <v>5.57</v>
      </c>
      <c r="J114" s="44">
        <v>608.0</v>
      </c>
      <c r="M114" s="44">
        <v>59.0</v>
      </c>
      <c r="N114" s="44">
        <v>647.0</v>
      </c>
    </row>
    <row r="115" ht="12.75" customHeight="1">
      <c r="A115" s="45">
        <v>0.09791666666666667</v>
      </c>
      <c r="B115" s="44">
        <v>564.0</v>
      </c>
      <c r="C115" s="23"/>
      <c r="D115" s="42"/>
      <c r="E115" s="42"/>
      <c r="F115" s="42"/>
      <c r="G115" s="42"/>
      <c r="H115" s="42"/>
      <c r="I115" s="44">
        <v>5.61</v>
      </c>
      <c r="J115" s="44">
        <v>613.0</v>
      </c>
      <c r="M115" s="44">
        <v>59.5</v>
      </c>
      <c r="N115" s="44">
        <v>651.0</v>
      </c>
    </row>
    <row r="116" ht="12.75" customHeight="1">
      <c r="A116" s="45">
        <v>0.09722222222222222</v>
      </c>
      <c r="B116" s="44">
        <v>570.0</v>
      </c>
      <c r="C116" s="23"/>
      <c r="D116" s="42"/>
      <c r="E116" s="42"/>
      <c r="F116" s="42"/>
      <c r="G116" s="42"/>
      <c r="H116" s="42"/>
      <c r="I116" s="44">
        <v>5.65</v>
      </c>
      <c r="J116" s="44">
        <v>617.0</v>
      </c>
      <c r="M116" s="44">
        <v>60.0</v>
      </c>
      <c r="N116" s="44">
        <v>654.0</v>
      </c>
    </row>
    <row r="117" ht="12.75" customHeight="1">
      <c r="A117" s="45">
        <v>0.09652777777777778</v>
      </c>
      <c r="B117" s="44">
        <v>576.0</v>
      </c>
      <c r="C117" s="23"/>
      <c r="D117" s="42"/>
      <c r="E117" s="42"/>
      <c r="F117" s="42"/>
      <c r="G117" s="42"/>
      <c r="H117" s="42"/>
      <c r="I117" s="44">
        <v>5.69</v>
      </c>
      <c r="J117" s="44">
        <v>621.0</v>
      </c>
      <c r="M117" s="44">
        <v>60.5</v>
      </c>
      <c r="N117" s="44">
        <v>658.0</v>
      </c>
    </row>
    <row r="118" ht="12.75" customHeight="1">
      <c r="A118" s="45">
        <v>0.09583333333333334</v>
      </c>
      <c r="B118" s="44">
        <v>583.0</v>
      </c>
      <c r="C118" s="23"/>
      <c r="D118" s="42"/>
      <c r="E118" s="42"/>
      <c r="F118" s="42"/>
      <c r="G118" s="42"/>
      <c r="H118" s="42"/>
      <c r="I118" s="44">
        <v>5.73</v>
      </c>
      <c r="J118" s="44">
        <v>625.0</v>
      </c>
      <c r="M118" s="44">
        <v>61.0</v>
      </c>
      <c r="N118" s="44">
        <v>662.0</v>
      </c>
    </row>
    <row r="119" ht="12.75" customHeight="1">
      <c r="A119" s="45">
        <v>0.09513888888888888</v>
      </c>
      <c r="B119" s="44">
        <v>589.0</v>
      </c>
      <c r="C119" s="23"/>
      <c r="D119" s="42"/>
      <c r="E119" s="42"/>
      <c r="F119" s="42"/>
      <c r="G119" s="42"/>
      <c r="H119" s="42"/>
      <c r="I119" s="44">
        <v>5.77</v>
      </c>
      <c r="J119" s="44">
        <v>629.0</v>
      </c>
      <c r="M119" s="44">
        <v>61.5</v>
      </c>
      <c r="N119" s="44">
        <v>665.0</v>
      </c>
    </row>
    <row r="120" ht="12.75" customHeight="1">
      <c r="A120" s="45">
        <v>0.09444444444444444</v>
      </c>
      <c r="B120" s="44">
        <v>596.0</v>
      </c>
      <c r="C120" s="23"/>
      <c r="D120" s="42"/>
      <c r="E120" s="42"/>
      <c r="F120" s="42"/>
      <c r="G120" s="42"/>
      <c r="H120" s="42"/>
      <c r="I120" s="44">
        <v>5.81</v>
      </c>
      <c r="J120" s="44">
        <v>633.0</v>
      </c>
      <c r="M120" s="44">
        <v>62.0</v>
      </c>
      <c r="N120" s="44">
        <v>669.0</v>
      </c>
    </row>
    <row r="121" ht="12.75" customHeight="1">
      <c r="A121" s="45">
        <v>0.09375</v>
      </c>
      <c r="B121" s="44">
        <v>603.0</v>
      </c>
      <c r="C121" s="23"/>
      <c r="D121" s="42"/>
      <c r="E121" s="42"/>
      <c r="F121" s="42"/>
      <c r="G121" s="42"/>
      <c r="H121" s="42"/>
      <c r="I121" s="44">
        <v>5.85</v>
      </c>
      <c r="J121" s="44">
        <v>637.0</v>
      </c>
      <c r="M121" s="44">
        <v>62.5</v>
      </c>
      <c r="N121" s="44">
        <v>673.0</v>
      </c>
    </row>
    <row r="122" ht="12.75" customHeight="1">
      <c r="A122" s="45">
        <v>0.09305555555555556</v>
      </c>
      <c r="B122" s="44">
        <v>610.0</v>
      </c>
      <c r="C122" s="23"/>
      <c r="D122" s="42"/>
      <c r="E122" s="42"/>
      <c r="F122" s="42"/>
      <c r="G122" s="42"/>
      <c r="H122" s="42"/>
      <c r="I122" s="44">
        <v>5.89</v>
      </c>
      <c r="J122" s="44">
        <v>641.0</v>
      </c>
      <c r="M122" s="44">
        <v>63.0</v>
      </c>
      <c r="N122" s="44">
        <v>676.0</v>
      </c>
    </row>
    <row r="123" ht="12.75" customHeight="1">
      <c r="A123" s="45">
        <v>0.09236111111111112</v>
      </c>
      <c r="B123" s="44">
        <v>616.0</v>
      </c>
      <c r="C123" s="23"/>
      <c r="D123" s="42"/>
      <c r="E123" s="42"/>
      <c r="F123" s="42"/>
      <c r="G123" s="42"/>
      <c r="H123" s="42"/>
      <c r="I123" s="44">
        <v>5.93</v>
      </c>
      <c r="J123" s="44">
        <v>645.0</v>
      </c>
      <c r="M123" s="44">
        <v>63.5</v>
      </c>
      <c r="N123" s="44">
        <v>680.0</v>
      </c>
    </row>
    <row r="124" ht="12.75" customHeight="1">
      <c r="A124" s="45">
        <v>0.09166666666666666</v>
      </c>
      <c r="B124" s="44">
        <v>624.0</v>
      </c>
      <c r="C124" s="23"/>
      <c r="D124" s="42"/>
      <c r="E124" s="42"/>
      <c r="F124" s="42"/>
      <c r="G124" s="42"/>
      <c r="H124" s="42"/>
      <c r="I124" s="44">
        <v>5.97</v>
      </c>
      <c r="J124" s="44">
        <v>648.0</v>
      </c>
      <c r="M124" s="44">
        <v>64.0</v>
      </c>
      <c r="N124" s="44">
        <v>683.0</v>
      </c>
    </row>
    <row r="125" ht="12.75" customHeight="1">
      <c r="A125" s="45">
        <v>0.09097222222222222</v>
      </c>
      <c r="B125" s="44">
        <v>631.0</v>
      </c>
      <c r="C125" s="23"/>
      <c r="D125" s="42"/>
      <c r="E125" s="42"/>
      <c r="F125" s="42"/>
      <c r="G125" s="42"/>
      <c r="H125" s="42"/>
      <c r="I125" s="44">
        <v>6.01</v>
      </c>
      <c r="J125" s="44">
        <v>652.0</v>
      </c>
      <c r="M125" s="44">
        <v>64.5</v>
      </c>
      <c r="N125" s="44">
        <v>687.0</v>
      </c>
    </row>
    <row r="126" ht="12.75" customHeight="1">
      <c r="A126" s="45">
        <v>0.09027777777777778</v>
      </c>
      <c r="B126" s="44">
        <v>638.0</v>
      </c>
      <c r="C126" s="23"/>
      <c r="D126" s="42"/>
      <c r="E126" s="42"/>
      <c r="F126" s="42"/>
      <c r="G126" s="42"/>
      <c r="H126" s="42"/>
      <c r="I126" s="44">
        <v>6.05</v>
      </c>
      <c r="J126" s="44">
        <v>656.0</v>
      </c>
      <c r="M126" s="44">
        <v>65.0</v>
      </c>
      <c r="N126" s="44">
        <v>690.0</v>
      </c>
    </row>
    <row r="127" ht="12.75" customHeight="1">
      <c r="A127" s="45">
        <v>0.08958333333333333</v>
      </c>
      <c r="B127" s="44">
        <v>645.0</v>
      </c>
      <c r="C127" s="23"/>
      <c r="D127" s="42"/>
      <c r="E127" s="42"/>
      <c r="F127" s="42"/>
      <c r="G127" s="42"/>
      <c r="H127" s="42"/>
      <c r="I127" s="44">
        <v>6.09</v>
      </c>
      <c r="J127" s="44">
        <v>660.0</v>
      </c>
      <c r="M127" s="44">
        <v>65.5</v>
      </c>
      <c r="N127" s="44">
        <v>694.0</v>
      </c>
    </row>
    <row r="128" ht="12.75" customHeight="1">
      <c r="A128" s="45">
        <v>0.08888888888888889</v>
      </c>
      <c r="B128" s="44">
        <v>653.0</v>
      </c>
      <c r="C128" s="23"/>
      <c r="D128" s="42"/>
      <c r="E128" s="42"/>
      <c r="F128" s="42"/>
      <c r="G128" s="42"/>
      <c r="H128" s="42"/>
      <c r="I128" s="44">
        <v>6.13</v>
      </c>
      <c r="J128" s="44">
        <v>664.0</v>
      </c>
      <c r="M128" s="44">
        <v>66.0</v>
      </c>
      <c r="N128" s="44">
        <v>698.0</v>
      </c>
    </row>
    <row r="129" ht="12.75" customHeight="1">
      <c r="A129" s="45">
        <v>0.08819444444444445</v>
      </c>
      <c r="B129" s="44">
        <v>660.0</v>
      </c>
      <c r="C129" s="23"/>
      <c r="D129" s="42"/>
      <c r="E129" s="42"/>
      <c r="F129" s="42"/>
      <c r="G129" s="42"/>
      <c r="H129" s="42"/>
      <c r="I129" s="44">
        <v>6.17</v>
      </c>
      <c r="J129" s="44">
        <v>668.0</v>
      </c>
      <c r="M129" s="44">
        <v>66.5</v>
      </c>
      <c r="N129" s="44">
        <v>701.0</v>
      </c>
    </row>
    <row r="130" ht="12.75" customHeight="1">
      <c r="A130" s="45">
        <v>0.0875</v>
      </c>
      <c r="B130" s="44">
        <v>668.0</v>
      </c>
      <c r="C130" s="23"/>
      <c r="D130" s="42"/>
      <c r="E130" s="42"/>
      <c r="F130" s="42"/>
      <c r="G130" s="42"/>
      <c r="H130" s="42"/>
      <c r="I130" s="44">
        <v>6.21</v>
      </c>
      <c r="J130" s="44">
        <v>672.0</v>
      </c>
      <c r="M130" s="44">
        <v>67.0</v>
      </c>
      <c r="N130" s="44">
        <v>705.0</v>
      </c>
    </row>
    <row r="131" ht="12.75" customHeight="1">
      <c r="A131" s="45">
        <v>0.08680555555555555</v>
      </c>
      <c r="B131" s="44">
        <v>676.0</v>
      </c>
      <c r="C131" s="23"/>
      <c r="D131" s="42"/>
      <c r="E131" s="42"/>
      <c r="F131" s="42"/>
      <c r="G131" s="42"/>
      <c r="H131" s="42"/>
      <c r="I131" s="44">
        <v>6.25</v>
      </c>
      <c r="J131" s="44">
        <v>676.0</v>
      </c>
      <c r="M131" s="44">
        <v>67.5</v>
      </c>
      <c r="N131" s="44">
        <v>708.0</v>
      </c>
    </row>
    <row r="132" ht="12.75" customHeight="1">
      <c r="A132" s="45">
        <v>0.08611111111111111</v>
      </c>
      <c r="B132" s="44">
        <v>684.0</v>
      </c>
      <c r="C132" s="23"/>
      <c r="D132" s="42"/>
      <c r="E132" s="42"/>
      <c r="F132" s="42"/>
      <c r="G132" s="42"/>
      <c r="H132" s="42"/>
      <c r="I132" s="44">
        <v>6.29</v>
      </c>
      <c r="J132" s="44">
        <v>680.0</v>
      </c>
      <c r="M132" s="44">
        <v>68.0</v>
      </c>
      <c r="N132" s="44">
        <v>712.0</v>
      </c>
    </row>
    <row r="133" ht="12.75" customHeight="1">
      <c r="A133" s="45">
        <v>0.08541666666666667</v>
      </c>
      <c r="B133" s="44">
        <v>692.0</v>
      </c>
      <c r="C133" s="23"/>
      <c r="D133" s="42"/>
      <c r="E133" s="42"/>
      <c r="F133" s="42"/>
      <c r="G133" s="42"/>
      <c r="H133" s="42"/>
      <c r="I133" s="44">
        <v>6.33</v>
      </c>
      <c r="J133" s="44">
        <v>683.0</v>
      </c>
      <c r="M133" s="44">
        <v>68.5</v>
      </c>
      <c r="N133" s="44">
        <v>715.0</v>
      </c>
    </row>
    <row r="134" ht="12.75" customHeight="1">
      <c r="A134" s="45">
        <v>0.08472222222222223</v>
      </c>
      <c r="B134" s="44">
        <v>700.0</v>
      </c>
      <c r="C134" s="23"/>
      <c r="D134" s="42"/>
      <c r="E134" s="42"/>
      <c r="F134" s="42"/>
      <c r="G134" s="42"/>
      <c r="H134" s="42"/>
      <c r="I134" s="44">
        <v>6.37</v>
      </c>
      <c r="J134" s="44">
        <v>687.0</v>
      </c>
      <c r="M134" s="44">
        <v>69.0</v>
      </c>
      <c r="N134" s="44">
        <v>718.0</v>
      </c>
    </row>
    <row r="135" ht="12.75" customHeight="1">
      <c r="A135" s="45">
        <v>0.08402777777777778</v>
      </c>
      <c r="B135" s="44">
        <v>709.0</v>
      </c>
      <c r="C135" s="23"/>
      <c r="D135" s="42"/>
      <c r="E135" s="42"/>
      <c r="F135" s="42"/>
      <c r="G135" s="42"/>
      <c r="H135" s="42"/>
      <c r="I135" s="44">
        <v>6.41</v>
      </c>
      <c r="J135" s="44">
        <v>691.0</v>
      </c>
      <c r="M135" s="44">
        <v>69.5</v>
      </c>
      <c r="N135" s="44">
        <v>722.0</v>
      </c>
    </row>
    <row r="136" ht="12.75" customHeight="1">
      <c r="A136" s="45">
        <v>0.08333333333333333</v>
      </c>
      <c r="B136" s="44">
        <v>717.0</v>
      </c>
      <c r="C136" s="23"/>
      <c r="D136" s="42"/>
      <c r="E136" s="42"/>
      <c r="F136" s="42"/>
      <c r="G136" s="42"/>
      <c r="H136" s="42"/>
      <c r="I136" s="44">
        <v>6.45</v>
      </c>
      <c r="J136" s="44">
        <v>695.0</v>
      </c>
      <c r="M136" s="44">
        <v>70.0</v>
      </c>
      <c r="N136" s="44">
        <v>725.0</v>
      </c>
    </row>
    <row r="137" ht="12.75" customHeight="1">
      <c r="A137" s="23"/>
      <c r="B137" s="23"/>
      <c r="C137" s="23"/>
      <c r="D137" s="42"/>
      <c r="E137" s="42"/>
      <c r="F137" s="42"/>
      <c r="G137" s="42"/>
      <c r="H137" s="42"/>
      <c r="I137" s="44">
        <v>6.49</v>
      </c>
      <c r="J137" s="44">
        <v>699.0</v>
      </c>
      <c r="M137" s="44">
        <v>70.5</v>
      </c>
      <c r="N137" s="44">
        <v>729.0</v>
      </c>
    </row>
    <row r="138" ht="12.75" customHeight="1">
      <c r="A138" s="23"/>
      <c r="B138" s="23"/>
      <c r="C138" s="23"/>
      <c r="D138" s="42"/>
      <c r="E138" s="42"/>
      <c r="F138" s="42"/>
      <c r="G138" s="42"/>
      <c r="H138" s="42"/>
      <c r="I138" s="44">
        <v>6.53</v>
      </c>
      <c r="J138" s="44">
        <v>702.0</v>
      </c>
      <c r="M138" s="44">
        <v>71.0</v>
      </c>
      <c r="N138" s="44">
        <v>732.0</v>
      </c>
    </row>
    <row r="139" ht="12.75" customHeight="1">
      <c r="A139" s="23"/>
      <c r="B139" s="23"/>
      <c r="C139" s="23"/>
      <c r="D139" s="42"/>
      <c r="E139" s="42"/>
      <c r="F139" s="42"/>
      <c r="G139" s="42"/>
      <c r="H139" s="42"/>
      <c r="I139" s="44">
        <v>6.57</v>
      </c>
      <c r="J139" s="44">
        <v>706.0</v>
      </c>
      <c r="M139" s="44">
        <v>71.5</v>
      </c>
      <c r="N139" s="44">
        <v>735.0</v>
      </c>
    </row>
    <row r="140" ht="12.75" customHeight="1">
      <c r="A140" s="23"/>
      <c r="B140" s="23"/>
      <c r="C140" s="23"/>
      <c r="D140" s="42"/>
      <c r="E140" s="42"/>
      <c r="F140" s="42"/>
      <c r="G140" s="42"/>
      <c r="H140" s="42"/>
      <c r="I140" s="44">
        <v>6.61</v>
      </c>
      <c r="J140" s="44">
        <v>710.0</v>
      </c>
      <c r="M140" s="44">
        <v>72.0</v>
      </c>
      <c r="N140" s="44">
        <v>739.0</v>
      </c>
    </row>
    <row r="141" ht="12.75" customHeight="1">
      <c r="A141" s="23"/>
      <c r="B141" s="23"/>
      <c r="C141" s="23"/>
      <c r="D141" s="42"/>
      <c r="E141" s="42"/>
      <c r="F141" s="42"/>
      <c r="G141" s="42"/>
      <c r="H141" s="42"/>
      <c r="I141" s="44">
        <v>6.65</v>
      </c>
      <c r="J141" s="44">
        <v>714.0</v>
      </c>
      <c r="M141" s="44">
        <v>72.5</v>
      </c>
      <c r="N141" s="44">
        <v>742.0</v>
      </c>
    </row>
    <row r="142" ht="12.75" customHeight="1">
      <c r="A142" s="23"/>
      <c r="B142" s="23"/>
      <c r="C142" s="23"/>
      <c r="D142" s="42"/>
      <c r="E142" s="42"/>
      <c r="F142" s="42"/>
      <c r="G142" s="42"/>
      <c r="H142" s="42"/>
      <c r="I142" s="44">
        <v>6.69</v>
      </c>
      <c r="J142" s="44">
        <v>717.0</v>
      </c>
      <c r="M142" s="44">
        <v>73.0</v>
      </c>
      <c r="N142" s="44">
        <v>746.0</v>
      </c>
    </row>
    <row r="143" ht="12.75" customHeight="1">
      <c r="A143" s="23"/>
      <c r="B143" s="23"/>
      <c r="C143" s="23"/>
      <c r="D143" s="42"/>
      <c r="E143" s="42"/>
      <c r="F143" s="42"/>
      <c r="G143" s="42"/>
      <c r="H143" s="42"/>
      <c r="I143" s="44">
        <v>6.73</v>
      </c>
      <c r="J143" s="44">
        <v>721.0</v>
      </c>
      <c r="M143" s="44">
        <v>73.5</v>
      </c>
      <c r="N143" s="44">
        <v>749.0</v>
      </c>
    </row>
    <row r="144" ht="12.75" customHeight="1">
      <c r="A144" s="23"/>
      <c r="B144" s="23"/>
      <c r="C144" s="23"/>
      <c r="D144" s="42"/>
      <c r="E144" s="42"/>
      <c r="F144" s="42"/>
      <c r="G144" s="42"/>
      <c r="H144" s="42"/>
      <c r="I144" s="44">
        <v>6.77</v>
      </c>
      <c r="J144" s="44">
        <v>725.0</v>
      </c>
      <c r="M144" s="44">
        <v>74.0</v>
      </c>
      <c r="N144" s="44">
        <v>752.0</v>
      </c>
    </row>
    <row r="145" ht="12.75" customHeight="1">
      <c r="A145" s="23"/>
      <c r="B145" s="23"/>
      <c r="C145" s="23"/>
      <c r="D145" s="42"/>
      <c r="E145" s="42"/>
      <c r="F145" s="42"/>
      <c r="G145" s="42"/>
      <c r="H145" s="42"/>
      <c r="I145" s="44">
        <v>6.81</v>
      </c>
      <c r="J145" s="44">
        <v>728.0</v>
      </c>
      <c r="M145" s="44">
        <v>74.5</v>
      </c>
      <c r="N145" s="44">
        <v>756.0</v>
      </c>
    </row>
    <row r="146" ht="12.75" customHeight="1">
      <c r="A146" s="23"/>
      <c r="B146" s="23"/>
      <c r="C146" s="23"/>
      <c r="D146" s="42"/>
      <c r="E146" s="42"/>
      <c r="F146" s="42"/>
      <c r="G146" s="42"/>
      <c r="H146" s="42"/>
      <c r="I146" s="23"/>
      <c r="M146" s="44">
        <v>75.0</v>
      </c>
      <c r="N146" s="44">
        <v>759.0</v>
      </c>
    </row>
    <row r="147" ht="12.75" customHeight="1">
      <c r="A147" s="23"/>
      <c r="B147" s="23"/>
      <c r="C147" s="23"/>
      <c r="D147" s="42"/>
      <c r="E147" s="42"/>
      <c r="F147" s="42"/>
      <c r="G147" s="42"/>
      <c r="H147" s="42"/>
      <c r="I147" s="23"/>
      <c r="M147" s="44">
        <v>75.5</v>
      </c>
      <c r="N147" s="44">
        <v>762.0</v>
      </c>
    </row>
    <row r="148" ht="12.75" customHeight="1">
      <c r="A148" s="23"/>
      <c r="B148" s="23"/>
      <c r="C148" s="23"/>
      <c r="D148" s="42"/>
      <c r="E148" s="42"/>
      <c r="F148" s="42"/>
      <c r="G148" s="42"/>
      <c r="H148" s="42"/>
      <c r="I148" s="23"/>
      <c r="M148" s="44">
        <v>76.0</v>
      </c>
      <c r="N148" s="44">
        <v>765.0</v>
      </c>
    </row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F1"/>
    <mergeCell ref="A3:B3"/>
    <mergeCell ref="E3:F3"/>
    <mergeCell ref="I3:J3"/>
    <mergeCell ref="M3:N3"/>
  </mergeCells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43.5" customHeight="1">
      <c r="A1" s="36" t="s">
        <v>36</v>
      </c>
      <c r="B1" s="37"/>
      <c r="C1" s="37"/>
      <c r="D1" s="37"/>
      <c r="E1" s="37"/>
      <c r="F1" s="38"/>
    </row>
    <row r="2" ht="12.75" customHeight="1"/>
    <row r="3" ht="19.5" customHeight="1">
      <c r="A3" s="39" t="s">
        <v>37</v>
      </c>
      <c r="B3" s="40"/>
      <c r="C3" s="41"/>
      <c r="D3" s="42"/>
      <c r="E3" s="43" t="s">
        <v>38</v>
      </c>
      <c r="F3" s="40"/>
      <c r="G3" s="42"/>
      <c r="H3" s="42"/>
      <c r="I3" s="39" t="s">
        <v>39</v>
      </c>
      <c r="J3" s="40"/>
      <c r="M3" s="39" t="s">
        <v>40</v>
      </c>
      <c r="N3" s="40"/>
    </row>
    <row r="4" ht="12.75" customHeight="1">
      <c r="A4" s="44" t="s">
        <v>27</v>
      </c>
      <c r="B4" s="44" t="s">
        <v>28</v>
      </c>
      <c r="C4" s="23"/>
      <c r="D4" s="23"/>
      <c r="E4" s="44" t="s">
        <v>29</v>
      </c>
      <c r="F4" s="44" t="s">
        <v>28</v>
      </c>
      <c r="G4" s="23"/>
      <c r="H4" s="23"/>
      <c r="I4" s="44" t="s">
        <v>30</v>
      </c>
      <c r="J4" s="44" t="s">
        <v>28</v>
      </c>
      <c r="M4" s="44" t="s">
        <v>30</v>
      </c>
      <c r="N4" s="44" t="s">
        <v>28</v>
      </c>
    </row>
    <row r="5" ht="12.75" customHeight="1">
      <c r="A5" s="45">
        <v>0.2708333333333333</v>
      </c>
      <c r="B5" s="44">
        <v>67.0</v>
      </c>
      <c r="C5" s="23"/>
      <c r="D5" s="42"/>
      <c r="E5" s="44">
        <v>16.5</v>
      </c>
      <c r="F5" s="44">
        <v>57.0</v>
      </c>
      <c r="G5" s="42"/>
      <c r="H5" s="42"/>
      <c r="I5" s="44">
        <v>1.33</v>
      </c>
      <c r="J5" s="44">
        <v>1.0</v>
      </c>
      <c r="M5" s="44">
        <v>4.0</v>
      </c>
      <c r="N5" s="44">
        <v>5.0</v>
      </c>
    </row>
    <row r="6" ht="12.75" customHeight="1">
      <c r="A6" s="45">
        <v>0.2673611111111111</v>
      </c>
      <c r="B6" s="44">
        <v>73.0</v>
      </c>
      <c r="C6" s="23"/>
      <c r="D6" s="42"/>
      <c r="E6" s="44">
        <v>16.4</v>
      </c>
      <c r="F6" s="44">
        <v>61.0</v>
      </c>
      <c r="G6" s="42"/>
      <c r="H6" s="42"/>
      <c r="I6" s="44">
        <v>1.37</v>
      </c>
      <c r="J6" s="44">
        <v>9.0</v>
      </c>
      <c r="M6" s="44">
        <v>4.5</v>
      </c>
      <c r="N6" s="44">
        <v>14.0</v>
      </c>
    </row>
    <row r="7" ht="12.75" customHeight="1">
      <c r="A7" s="45">
        <v>0.2638888888888889</v>
      </c>
      <c r="B7" s="44">
        <v>78.0</v>
      </c>
      <c r="C7" s="23"/>
      <c r="D7" s="42"/>
      <c r="E7" s="44">
        <v>16.3</v>
      </c>
      <c r="F7" s="44">
        <v>65.0</v>
      </c>
      <c r="G7" s="42"/>
      <c r="H7" s="42"/>
      <c r="I7" s="44">
        <v>1.41</v>
      </c>
      <c r="J7" s="44">
        <v>16.0</v>
      </c>
      <c r="M7" s="44">
        <v>5.0</v>
      </c>
      <c r="N7" s="44">
        <v>24.0</v>
      </c>
    </row>
    <row r="8" ht="12.75" customHeight="1">
      <c r="A8" s="45">
        <v>0.2604166666666667</v>
      </c>
      <c r="B8" s="44">
        <v>84.0</v>
      </c>
      <c r="C8" s="23"/>
      <c r="D8" s="42"/>
      <c r="E8" s="44">
        <v>16.2</v>
      </c>
      <c r="F8" s="44">
        <v>69.0</v>
      </c>
      <c r="G8" s="42"/>
      <c r="H8" s="42"/>
      <c r="I8" s="44">
        <v>1.45</v>
      </c>
      <c r="J8" s="44">
        <v>24.0</v>
      </c>
      <c r="M8" s="44">
        <v>5.5</v>
      </c>
      <c r="N8" s="44">
        <v>33.0</v>
      </c>
    </row>
    <row r="9" ht="12.75" customHeight="1">
      <c r="A9" s="45">
        <v>0.2569444444444444</v>
      </c>
      <c r="B9" s="44">
        <v>90.0</v>
      </c>
      <c r="C9" s="23"/>
      <c r="D9" s="42"/>
      <c r="E9" s="44">
        <v>16.1</v>
      </c>
      <c r="F9" s="44">
        <v>73.0</v>
      </c>
      <c r="G9" s="42"/>
      <c r="H9" s="42"/>
      <c r="I9" s="44">
        <v>1.49</v>
      </c>
      <c r="J9" s="44">
        <v>32.0</v>
      </c>
      <c r="M9" s="44">
        <v>6.0</v>
      </c>
      <c r="N9" s="44">
        <v>41.0</v>
      </c>
    </row>
    <row r="10" ht="12.75" customHeight="1">
      <c r="A10" s="45">
        <v>0.2534722222222222</v>
      </c>
      <c r="B10" s="44">
        <v>96.0</v>
      </c>
      <c r="C10" s="23"/>
      <c r="D10" s="42"/>
      <c r="E10" s="44">
        <v>16.0</v>
      </c>
      <c r="F10" s="44">
        <v>78.0</v>
      </c>
      <c r="G10" s="42"/>
      <c r="H10" s="42"/>
      <c r="I10" s="44">
        <v>1.53</v>
      </c>
      <c r="J10" s="44">
        <v>39.0</v>
      </c>
      <c r="M10" s="44">
        <v>6.5</v>
      </c>
      <c r="N10" s="44">
        <v>49.0</v>
      </c>
    </row>
    <row r="11" ht="12.75" customHeight="1">
      <c r="A11" s="45">
        <v>0.25</v>
      </c>
      <c r="B11" s="44">
        <v>103.0</v>
      </c>
      <c r="C11" s="23"/>
      <c r="D11" s="42"/>
      <c r="E11" s="44">
        <v>15.9</v>
      </c>
      <c r="F11" s="44">
        <v>82.0</v>
      </c>
      <c r="G11" s="42"/>
      <c r="H11" s="42"/>
      <c r="I11" s="44">
        <v>1.57</v>
      </c>
      <c r="J11" s="44">
        <v>46.0</v>
      </c>
      <c r="M11" s="44">
        <v>7.0</v>
      </c>
      <c r="N11" s="44">
        <v>57.0</v>
      </c>
    </row>
    <row r="12" ht="12.75" customHeight="1">
      <c r="A12" s="45">
        <v>0.24722222222222223</v>
      </c>
      <c r="B12" s="44">
        <v>108.0</v>
      </c>
      <c r="C12" s="23"/>
      <c r="D12" s="42"/>
      <c r="E12" s="44">
        <v>15.8</v>
      </c>
      <c r="F12" s="44">
        <v>86.0</v>
      </c>
      <c r="G12" s="42"/>
      <c r="H12" s="42"/>
      <c r="I12" s="44">
        <v>1.61</v>
      </c>
      <c r="J12" s="44">
        <v>54.0</v>
      </c>
      <c r="M12" s="44">
        <v>7.5</v>
      </c>
      <c r="N12" s="44">
        <v>64.0</v>
      </c>
    </row>
    <row r="13" ht="12.75" customHeight="1">
      <c r="A13" s="45">
        <v>0.24444444444444444</v>
      </c>
      <c r="B13" s="44">
        <v>113.0</v>
      </c>
      <c r="C13" s="23"/>
      <c r="D13" s="42"/>
      <c r="E13" s="44">
        <v>15.7</v>
      </c>
      <c r="F13" s="44">
        <v>91.0</v>
      </c>
      <c r="G13" s="42"/>
      <c r="H13" s="42"/>
      <c r="I13" s="44">
        <v>1.65</v>
      </c>
      <c r="J13" s="44">
        <v>61.0</v>
      </c>
      <c r="M13" s="44">
        <v>8.0</v>
      </c>
      <c r="N13" s="44">
        <v>71.0</v>
      </c>
    </row>
    <row r="14" ht="12.75" customHeight="1">
      <c r="A14" s="45">
        <v>0.24166666666666667</v>
      </c>
      <c r="B14" s="44">
        <v>119.0</v>
      </c>
      <c r="C14" s="23"/>
      <c r="D14" s="42"/>
      <c r="E14" s="44">
        <v>15.6</v>
      </c>
      <c r="F14" s="44">
        <v>95.0</v>
      </c>
      <c r="G14" s="42"/>
      <c r="H14" s="42"/>
      <c r="I14" s="44">
        <v>1.69</v>
      </c>
      <c r="J14" s="44">
        <v>68.0</v>
      </c>
      <c r="M14" s="44">
        <v>8.5</v>
      </c>
      <c r="N14" s="44">
        <v>78.0</v>
      </c>
    </row>
    <row r="15" ht="12.75" customHeight="1">
      <c r="A15" s="45">
        <v>0.2388888888888889</v>
      </c>
      <c r="B15" s="44">
        <v>124.0</v>
      </c>
      <c r="C15" s="23"/>
      <c r="D15" s="42"/>
      <c r="E15" s="44">
        <v>15.5</v>
      </c>
      <c r="F15" s="44">
        <v>100.0</v>
      </c>
      <c r="G15" s="42"/>
      <c r="H15" s="42"/>
      <c r="I15" s="44">
        <v>1.73</v>
      </c>
      <c r="J15" s="44">
        <v>75.0</v>
      </c>
      <c r="M15" s="44">
        <v>9.0</v>
      </c>
      <c r="N15" s="44">
        <v>85.0</v>
      </c>
    </row>
    <row r="16" ht="12.75" customHeight="1">
      <c r="A16" s="45">
        <v>0.2361111111111111</v>
      </c>
      <c r="B16" s="44">
        <v>130.0</v>
      </c>
      <c r="C16" s="23"/>
      <c r="D16" s="42"/>
      <c r="E16" s="44">
        <v>15.4</v>
      </c>
      <c r="F16" s="44">
        <v>104.0</v>
      </c>
      <c r="G16" s="42"/>
      <c r="H16" s="42"/>
      <c r="I16" s="44">
        <v>1.77</v>
      </c>
      <c r="J16" s="44">
        <v>82.0</v>
      </c>
      <c r="M16" s="44">
        <v>9.5</v>
      </c>
      <c r="N16" s="44">
        <v>92.0</v>
      </c>
    </row>
    <row r="17" ht="12.75" customHeight="1">
      <c r="A17" s="45">
        <v>0.23333333333333334</v>
      </c>
      <c r="B17" s="44">
        <v>136.0</v>
      </c>
      <c r="C17" s="23"/>
      <c r="D17" s="42"/>
      <c r="E17" s="44">
        <v>15.3</v>
      </c>
      <c r="F17" s="44">
        <v>109.0</v>
      </c>
      <c r="G17" s="42"/>
      <c r="H17" s="42"/>
      <c r="I17" s="44">
        <v>1.81</v>
      </c>
      <c r="J17" s="44">
        <v>89.0</v>
      </c>
      <c r="M17" s="44">
        <v>10.0</v>
      </c>
      <c r="N17" s="44">
        <v>98.0</v>
      </c>
    </row>
    <row r="18" ht="12.75" customHeight="1">
      <c r="A18" s="45">
        <v>0.23055555555555557</v>
      </c>
      <c r="B18" s="44">
        <v>142.0</v>
      </c>
      <c r="C18" s="23"/>
      <c r="D18" s="42"/>
      <c r="E18" s="44">
        <v>15.2</v>
      </c>
      <c r="F18" s="44">
        <v>114.0</v>
      </c>
      <c r="G18" s="42"/>
      <c r="H18" s="42"/>
      <c r="I18" s="44">
        <v>1.85</v>
      </c>
      <c r="J18" s="44">
        <v>95.0</v>
      </c>
      <c r="M18" s="44">
        <v>10.5</v>
      </c>
      <c r="N18" s="44">
        <v>105.0</v>
      </c>
    </row>
    <row r="19" ht="12.75" customHeight="1">
      <c r="A19" s="45">
        <v>0.22777777777777777</v>
      </c>
      <c r="B19" s="44">
        <v>148.0</v>
      </c>
      <c r="C19" s="23"/>
      <c r="D19" s="42"/>
      <c r="E19" s="44">
        <v>15.1</v>
      </c>
      <c r="F19" s="44">
        <v>118.0</v>
      </c>
      <c r="G19" s="42"/>
      <c r="H19" s="42"/>
      <c r="I19" s="44">
        <v>1.89</v>
      </c>
      <c r="J19" s="44">
        <v>102.0</v>
      </c>
      <c r="M19" s="44">
        <v>11.0</v>
      </c>
      <c r="N19" s="44">
        <v>111.0</v>
      </c>
    </row>
    <row r="20" ht="12.75" customHeight="1">
      <c r="A20" s="45">
        <v>0.225</v>
      </c>
      <c r="B20" s="44">
        <v>154.0</v>
      </c>
      <c r="C20" s="23"/>
      <c r="D20" s="42"/>
      <c r="E20" s="44">
        <v>15.0</v>
      </c>
      <c r="F20" s="44">
        <v>123.0</v>
      </c>
      <c r="G20" s="42"/>
      <c r="H20" s="42"/>
      <c r="I20" s="44">
        <v>1.93</v>
      </c>
      <c r="J20" s="44">
        <v>109.0</v>
      </c>
      <c r="M20" s="44">
        <v>11.5</v>
      </c>
      <c r="N20" s="44">
        <v>117.0</v>
      </c>
    </row>
    <row r="21" ht="12.75" customHeight="1">
      <c r="A21" s="45">
        <v>0.2222222222222222</v>
      </c>
      <c r="B21" s="44">
        <v>161.0</v>
      </c>
      <c r="C21" s="23"/>
      <c r="D21" s="42"/>
      <c r="E21" s="44">
        <v>14.9</v>
      </c>
      <c r="F21" s="44">
        <v>128.0</v>
      </c>
      <c r="G21" s="42"/>
      <c r="H21" s="42"/>
      <c r="I21" s="44">
        <v>1.97</v>
      </c>
      <c r="J21" s="44">
        <v>115.0</v>
      </c>
      <c r="M21" s="44">
        <v>12.0</v>
      </c>
      <c r="N21" s="44">
        <v>123.0</v>
      </c>
    </row>
    <row r="22" ht="12.75" customHeight="1">
      <c r="A22" s="45">
        <v>0.21944444444444444</v>
      </c>
      <c r="B22" s="44">
        <v>167.0</v>
      </c>
      <c r="C22" s="23"/>
      <c r="D22" s="42"/>
      <c r="E22" s="44">
        <v>14.8</v>
      </c>
      <c r="F22" s="44">
        <v>133.0</v>
      </c>
      <c r="G22" s="42"/>
      <c r="H22" s="42"/>
      <c r="I22" s="44">
        <v>2.01</v>
      </c>
      <c r="J22" s="44">
        <v>122.0</v>
      </c>
      <c r="M22" s="44">
        <v>12.5</v>
      </c>
      <c r="N22" s="44">
        <v>128.0</v>
      </c>
    </row>
    <row r="23" ht="12.75" customHeight="1">
      <c r="A23" s="45">
        <v>0.21666666666666667</v>
      </c>
      <c r="B23" s="44">
        <v>174.0</v>
      </c>
      <c r="C23" s="23"/>
      <c r="D23" s="42"/>
      <c r="E23" s="44">
        <v>14.7</v>
      </c>
      <c r="F23" s="44">
        <v>138.0</v>
      </c>
      <c r="G23" s="42"/>
      <c r="H23" s="42"/>
      <c r="I23" s="44">
        <v>2.05</v>
      </c>
      <c r="J23" s="44">
        <v>128.0</v>
      </c>
      <c r="M23" s="44">
        <v>13.0</v>
      </c>
      <c r="N23" s="44">
        <v>134.0</v>
      </c>
    </row>
    <row r="24" ht="12.75" customHeight="1">
      <c r="A24" s="45">
        <v>0.21458333333333332</v>
      </c>
      <c r="B24" s="44">
        <v>179.0</v>
      </c>
      <c r="C24" s="23"/>
      <c r="D24" s="42"/>
      <c r="E24" s="44">
        <v>14.6</v>
      </c>
      <c r="F24" s="44">
        <v>143.0</v>
      </c>
      <c r="G24" s="42"/>
      <c r="H24" s="42"/>
      <c r="I24" s="44">
        <v>2.09</v>
      </c>
      <c r="J24" s="44">
        <v>134.0</v>
      </c>
      <c r="M24" s="44">
        <v>13.5</v>
      </c>
      <c r="N24" s="44">
        <v>140.0</v>
      </c>
    </row>
    <row r="25" ht="12.75" customHeight="1">
      <c r="A25" s="45">
        <v>0.2125</v>
      </c>
      <c r="B25" s="44">
        <v>184.0</v>
      </c>
      <c r="C25" s="23"/>
      <c r="D25" s="42"/>
      <c r="E25" s="44">
        <v>14.5</v>
      </c>
      <c r="F25" s="44">
        <v>148.0</v>
      </c>
      <c r="G25" s="42"/>
      <c r="H25" s="42"/>
      <c r="I25" s="44">
        <v>2.13</v>
      </c>
      <c r="J25" s="44">
        <v>141.0</v>
      </c>
      <c r="M25" s="44">
        <v>14.0</v>
      </c>
      <c r="N25" s="44">
        <v>145.0</v>
      </c>
    </row>
    <row r="26" ht="12.75" customHeight="1">
      <c r="A26" s="45">
        <v>0.21041666666666667</v>
      </c>
      <c r="B26" s="44">
        <v>190.0</v>
      </c>
      <c r="C26" s="23"/>
      <c r="D26" s="42"/>
      <c r="E26" s="44">
        <v>14.4</v>
      </c>
      <c r="F26" s="44">
        <v>154.0</v>
      </c>
      <c r="G26" s="42"/>
      <c r="H26" s="42"/>
      <c r="I26" s="44">
        <v>2.17</v>
      </c>
      <c r="J26" s="44">
        <v>147.0</v>
      </c>
      <c r="M26" s="44">
        <v>14.5</v>
      </c>
      <c r="N26" s="44">
        <v>150.0</v>
      </c>
    </row>
    <row r="27" ht="12.75" customHeight="1">
      <c r="A27" s="45">
        <v>0.20833333333333334</v>
      </c>
      <c r="B27" s="44">
        <v>195.0</v>
      </c>
      <c r="C27" s="23"/>
      <c r="D27" s="42"/>
      <c r="E27" s="44">
        <v>14.3</v>
      </c>
      <c r="F27" s="44">
        <v>159.0</v>
      </c>
      <c r="G27" s="42"/>
      <c r="H27" s="42"/>
      <c r="I27" s="44">
        <v>2.21</v>
      </c>
      <c r="J27" s="44">
        <v>153.0</v>
      </c>
      <c r="M27" s="44">
        <v>15.0</v>
      </c>
      <c r="N27" s="44">
        <v>156.0</v>
      </c>
    </row>
    <row r="28" ht="12.75" customHeight="1">
      <c r="A28" s="45">
        <v>0.20625</v>
      </c>
      <c r="B28" s="44">
        <v>201.0</v>
      </c>
      <c r="C28" s="23"/>
      <c r="D28" s="42"/>
      <c r="E28" s="44">
        <v>14.2</v>
      </c>
      <c r="F28" s="44">
        <v>164.0</v>
      </c>
      <c r="G28" s="42"/>
      <c r="H28" s="42"/>
      <c r="I28" s="44">
        <v>2.25</v>
      </c>
      <c r="J28" s="44">
        <v>159.0</v>
      </c>
      <c r="M28" s="44">
        <v>15.5</v>
      </c>
      <c r="N28" s="44">
        <v>161.0</v>
      </c>
    </row>
    <row r="29" ht="12.75" customHeight="1">
      <c r="A29" s="45">
        <v>0.20416666666666666</v>
      </c>
      <c r="B29" s="44">
        <v>207.0</v>
      </c>
      <c r="C29" s="23"/>
      <c r="D29" s="42"/>
      <c r="E29" s="44">
        <v>14.1</v>
      </c>
      <c r="F29" s="44">
        <v>170.0</v>
      </c>
      <c r="G29" s="42"/>
      <c r="H29" s="42"/>
      <c r="I29" s="44">
        <v>2.29</v>
      </c>
      <c r="J29" s="44">
        <v>165.0</v>
      </c>
      <c r="M29" s="44">
        <v>16.0</v>
      </c>
      <c r="N29" s="44">
        <v>166.0</v>
      </c>
    </row>
    <row r="30" ht="12.75" customHeight="1">
      <c r="A30" s="45">
        <v>0.20208333333333334</v>
      </c>
      <c r="B30" s="44">
        <v>213.0</v>
      </c>
      <c r="C30" s="23"/>
      <c r="D30" s="42"/>
      <c r="E30" s="44">
        <v>14.0</v>
      </c>
      <c r="F30" s="44">
        <v>175.0</v>
      </c>
      <c r="G30" s="42"/>
      <c r="H30" s="42"/>
      <c r="I30" s="44">
        <v>2.33</v>
      </c>
      <c r="J30" s="44">
        <v>171.0</v>
      </c>
      <c r="M30" s="44">
        <v>16.5</v>
      </c>
      <c r="N30" s="44">
        <v>171.0</v>
      </c>
    </row>
    <row r="31" ht="12.75" customHeight="1">
      <c r="A31" s="45">
        <v>0.2</v>
      </c>
      <c r="B31" s="44">
        <v>219.0</v>
      </c>
      <c r="C31" s="23"/>
      <c r="D31" s="42"/>
      <c r="E31" s="44">
        <v>13.9</v>
      </c>
      <c r="F31" s="44">
        <v>181.0</v>
      </c>
      <c r="G31" s="42"/>
      <c r="H31" s="42"/>
      <c r="I31" s="44">
        <v>2.37</v>
      </c>
      <c r="J31" s="44">
        <v>177.0</v>
      </c>
      <c r="M31" s="44">
        <v>17.0</v>
      </c>
      <c r="N31" s="44">
        <v>176.0</v>
      </c>
    </row>
    <row r="32" ht="12.75" customHeight="1">
      <c r="A32" s="45">
        <v>0.19791666666666666</v>
      </c>
      <c r="B32" s="44">
        <v>225.0</v>
      </c>
      <c r="C32" s="23"/>
      <c r="D32" s="42"/>
      <c r="E32" s="44">
        <v>13.8</v>
      </c>
      <c r="F32" s="44">
        <v>187.0</v>
      </c>
      <c r="G32" s="42"/>
      <c r="H32" s="42"/>
      <c r="I32" s="44">
        <v>2.41</v>
      </c>
      <c r="J32" s="44">
        <v>183.0</v>
      </c>
      <c r="M32" s="44">
        <v>17.5</v>
      </c>
      <c r="N32" s="44">
        <v>181.0</v>
      </c>
    </row>
    <row r="33" ht="12.75" customHeight="1">
      <c r="A33" s="45">
        <v>0.19583333333333333</v>
      </c>
      <c r="B33" s="44">
        <v>231.0</v>
      </c>
      <c r="C33" s="23"/>
      <c r="D33" s="42"/>
      <c r="E33" s="44">
        <v>13.7</v>
      </c>
      <c r="F33" s="44">
        <v>192.0</v>
      </c>
      <c r="G33" s="42"/>
      <c r="H33" s="42"/>
      <c r="I33" s="44">
        <v>2.45</v>
      </c>
      <c r="J33" s="44">
        <v>189.0</v>
      </c>
      <c r="M33" s="44">
        <v>18.0</v>
      </c>
      <c r="N33" s="44">
        <v>186.0</v>
      </c>
    </row>
    <row r="34" ht="12.75" customHeight="1">
      <c r="A34" s="45">
        <v>0.19444444444444445</v>
      </c>
      <c r="B34" s="44">
        <v>235.0</v>
      </c>
      <c r="C34" s="23"/>
      <c r="D34" s="42"/>
      <c r="E34" s="44">
        <v>13.6</v>
      </c>
      <c r="F34" s="44">
        <v>198.0</v>
      </c>
      <c r="G34" s="42"/>
      <c r="H34" s="42"/>
      <c r="I34" s="44">
        <v>2.49</v>
      </c>
      <c r="J34" s="44">
        <v>195.0</v>
      </c>
      <c r="M34" s="44">
        <v>18.5</v>
      </c>
      <c r="N34" s="44">
        <v>190.0</v>
      </c>
    </row>
    <row r="35" ht="12.75" customHeight="1">
      <c r="A35" s="45">
        <v>0.19305555555555556</v>
      </c>
      <c r="B35" s="44">
        <v>239.0</v>
      </c>
      <c r="C35" s="23"/>
      <c r="D35" s="42"/>
      <c r="E35" s="44">
        <v>13.5</v>
      </c>
      <c r="F35" s="44">
        <v>204.0</v>
      </c>
      <c r="G35" s="42"/>
      <c r="H35" s="42"/>
      <c r="I35" s="44">
        <v>2.53</v>
      </c>
      <c r="J35" s="44">
        <v>201.0</v>
      </c>
      <c r="M35" s="44">
        <v>19.0</v>
      </c>
      <c r="N35" s="44">
        <v>195.0</v>
      </c>
    </row>
    <row r="36" ht="12.75" customHeight="1">
      <c r="A36" s="45">
        <v>0.19166666666666668</v>
      </c>
      <c r="B36" s="44">
        <v>244.0</v>
      </c>
      <c r="C36" s="23"/>
      <c r="D36" s="42"/>
      <c r="E36" s="44">
        <v>13.4</v>
      </c>
      <c r="F36" s="44">
        <v>210.0</v>
      </c>
      <c r="G36" s="42"/>
      <c r="H36" s="42"/>
      <c r="I36" s="44">
        <v>2.57</v>
      </c>
      <c r="J36" s="44">
        <v>206.0</v>
      </c>
      <c r="M36" s="44">
        <v>19.5</v>
      </c>
      <c r="N36" s="44">
        <v>199.0</v>
      </c>
    </row>
    <row r="37" ht="12.75" customHeight="1">
      <c r="A37" s="45">
        <v>0.19027777777777777</v>
      </c>
      <c r="B37" s="44">
        <v>248.0</v>
      </c>
      <c r="C37" s="23"/>
      <c r="D37" s="42"/>
      <c r="E37" s="44">
        <v>13.3</v>
      </c>
      <c r="F37" s="44">
        <v>216.0</v>
      </c>
      <c r="G37" s="42"/>
      <c r="H37" s="42"/>
      <c r="I37" s="44">
        <v>2.61</v>
      </c>
      <c r="J37" s="44">
        <v>212.0</v>
      </c>
      <c r="M37" s="44">
        <v>20.0</v>
      </c>
      <c r="N37" s="44">
        <v>204.0</v>
      </c>
    </row>
    <row r="38" ht="12.75" customHeight="1">
      <c r="A38" s="45">
        <v>0.18888888888888888</v>
      </c>
      <c r="B38" s="44">
        <v>253.0</v>
      </c>
      <c r="C38" s="23"/>
      <c r="D38" s="42"/>
      <c r="E38" s="44">
        <v>13.2</v>
      </c>
      <c r="F38" s="44">
        <v>222.0</v>
      </c>
      <c r="G38" s="42"/>
      <c r="H38" s="42"/>
      <c r="I38" s="44">
        <v>2.65</v>
      </c>
      <c r="J38" s="44">
        <v>218.0</v>
      </c>
      <c r="M38" s="44">
        <v>20.5</v>
      </c>
      <c r="N38" s="44">
        <v>209.0</v>
      </c>
    </row>
    <row r="39" ht="12.75" customHeight="1">
      <c r="A39" s="45">
        <v>0.1875</v>
      </c>
      <c r="B39" s="44">
        <v>257.0</v>
      </c>
      <c r="C39" s="23"/>
      <c r="D39" s="42"/>
      <c r="E39" s="44">
        <v>13.1</v>
      </c>
      <c r="F39" s="44">
        <v>229.0</v>
      </c>
      <c r="G39" s="42"/>
      <c r="H39" s="42"/>
      <c r="I39" s="44">
        <v>2.69</v>
      </c>
      <c r="J39" s="44">
        <v>223.0</v>
      </c>
      <c r="M39" s="44">
        <v>21.0</v>
      </c>
      <c r="N39" s="44">
        <v>213.0</v>
      </c>
    </row>
    <row r="40" ht="12.75" customHeight="1">
      <c r="A40" s="45">
        <v>0.18611111111111112</v>
      </c>
      <c r="B40" s="44">
        <v>262.0</v>
      </c>
      <c r="C40" s="23"/>
      <c r="D40" s="42"/>
      <c r="E40" s="44">
        <v>13.0</v>
      </c>
      <c r="F40" s="44">
        <v>235.0</v>
      </c>
      <c r="G40" s="42"/>
      <c r="H40" s="42"/>
      <c r="I40" s="44">
        <v>2.73</v>
      </c>
      <c r="J40" s="44">
        <v>229.0</v>
      </c>
      <c r="M40" s="44">
        <v>21.5</v>
      </c>
      <c r="N40" s="44">
        <v>217.0</v>
      </c>
    </row>
    <row r="41" ht="12.75" customHeight="1">
      <c r="A41" s="45">
        <v>0.18472222222222223</v>
      </c>
      <c r="B41" s="44">
        <v>266.0</v>
      </c>
      <c r="C41" s="23"/>
      <c r="D41" s="42"/>
      <c r="E41" s="44">
        <v>12.9</v>
      </c>
      <c r="F41" s="44">
        <v>242.0</v>
      </c>
      <c r="G41" s="42"/>
      <c r="H41" s="42"/>
      <c r="I41" s="44">
        <v>2.77</v>
      </c>
      <c r="J41" s="44">
        <v>234.0</v>
      </c>
      <c r="M41" s="44">
        <v>22.0</v>
      </c>
      <c r="N41" s="44">
        <v>222.0</v>
      </c>
    </row>
    <row r="42" ht="12.75" customHeight="1">
      <c r="A42" s="45">
        <v>0.18333333333333332</v>
      </c>
      <c r="B42" s="44">
        <v>271.0</v>
      </c>
      <c r="C42" s="23"/>
      <c r="D42" s="42"/>
      <c r="E42" s="44">
        <v>12.8</v>
      </c>
      <c r="F42" s="44">
        <v>248.0</v>
      </c>
      <c r="G42" s="42"/>
      <c r="H42" s="42"/>
      <c r="I42" s="44">
        <v>2.81</v>
      </c>
      <c r="J42" s="44">
        <v>240.0</v>
      </c>
      <c r="M42" s="44">
        <v>22.5</v>
      </c>
      <c r="N42" s="44">
        <v>226.0</v>
      </c>
    </row>
    <row r="43" ht="12.75" customHeight="1">
      <c r="A43" s="45">
        <v>0.18194444444444444</v>
      </c>
      <c r="B43" s="44">
        <v>276.0</v>
      </c>
      <c r="C43" s="23"/>
      <c r="D43" s="42"/>
      <c r="E43" s="44">
        <v>12.7</v>
      </c>
      <c r="F43" s="44">
        <v>255.0</v>
      </c>
      <c r="G43" s="42"/>
      <c r="H43" s="42"/>
      <c r="I43" s="44">
        <v>2.85</v>
      </c>
      <c r="J43" s="44">
        <v>245.0</v>
      </c>
      <c r="M43" s="44">
        <v>23.0</v>
      </c>
      <c r="N43" s="44">
        <v>230.0</v>
      </c>
    </row>
    <row r="44" ht="12.75" customHeight="1">
      <c r="A44" s="45">
        <v>0.18055555555555555</v>
      </c>
      <c r="B44" s="44">
        <v>281.0</v>
      </c>
      <c r="C44" s="23"/>
      <c r="D44" s="42"/>
      <c r="E44" s="44">
        <v>12.6</v>
      </c>
      <c r="F44" s="44">
        <v>262.0</v>
      </c>
      <c r="G44" s="42"/>
      <c r="H44" s="42"/>
      <c r="I44" s="44">
        <v>2.89</v>
      </c>
      <c r="J44" s="44">
        <v>251.0</v>
      </c>
      <c r="M44" s="44">
        <v>23.5</v>
      </c>
      <c r="N44" s="44">
        <v>234.0</v>
      </c>
    </row>
    <row r="45" ht="12.75" customHeight="1">
      <c r="A45" s="45">
        <v>0.17916666666666667</v>
      </c>
      <c r="B45" s="44">
        <v>286.0</v>
      </c>
      <c r="C45" s="23"/>
      <c r="D45" s="42"/>
      <c r="E45" s="44">
        <v>12.5</v>
      </c>
      <c r="F45" s="44">
        <v>269.0</v>
      </c>
      <c r="G45" s="42"/>
      <c r="H45" s="42"/>
      <c r="I45" s="44">
        <v>2.93</v>
      </c>
      <c r="J45" s="44">
        <v>256.0</v>
      </c>
      <c r="M45" s="44">
        <v>24.0</v>
      </c>
      <c r="N45" s="44">
        <v>238.0</v>
      </c>
    </row>
    <row r="46" ht="12.75" customHeight="1">
      <c r="A46" s="45">
        <v>0.17777777777777778</v>
      </c>
      <c r="B46" s="44">
        <v>291.0</v>
      </c>
      <c r="C46" s="23"/>
      <c r="D46" s="42"/>
      <c r="E46" s="44">
        <v>12.4</v>
      </c>
      <c r="F46" s="44">
        <v>276.0</v>
      </c>
      <c r="G46" s="42"/>
      <c r="H46" s="42"/>
      <c r="I46" s="44">
        <v>2.97</v>
      </c>
      <c r="J46" s="44">
        <v>261.0</v>
      </c>
      <c r="M46" s="44">
        <v>24.5</v>
      </c>
      <c r="N46" s="44">
        <v>243.0</v>
      </c>
    </row>
    <row r="47" ht="12.75" customHeight="1">
      <c r="A47" s="45">
        <v>0.1763888888888889</v>
      </c>
      <c r="B47" s="44">
        <v>296.0</v>
      </c>
      <c r="C47" s="23"/>
      <c r="D47" s="42"/>
      <c r="E47" s="44">
        <v>12.3</v>
      </c>
      <c r="F47" s="44">
        <v>283.0</v>
      </c>
      <c r="G47" s="42"/>
      <c r="H47" s="42"/>
      <c r="I47" s="44">
        <v>3.01</v>
      </c>
      <c r="J47" s="44">
        <v>266.0</v>
      </c>
      <c r="M47" s="44">
        <v>25.0</v>
      </c>
      <c r="N47" s="44">
        <v>247.0</v>
      </c>
    </row>
    <row r="48" ht="12.75" customHeight="1">
      <c r="A48" s="45">
        <v>0.175</v>
      </c>
      <c r="B48" s="44">
        <v>301.0</v>
      </c>
      <c r="C48" s="23"/>
      <c r="D48" s="42"/>
      <c r="E48" s="44">
        <v>12.2</v>
      </c>
      <c r="F48" s="44">
        <v>290.0</v>
      </c>
      <c r="G48" s="42"/>
      <c r="H48" s="42"/>
      <c r="I48" s="44">
        <v>3.05</v>
      </c>
      <c r="J48" s="44">
        <v>272.0</v>
      </c>
      <c r="M48" s="44">
        <v>25.5</v>
      </c>
      <c r="N48" s="44">
        <v>251.0</v>
      </c>
    </row>
    <row r="49" ht="12.75" customHeight="1">
      <c r="A49" s="45">
        <v>0.1736111111111111</v>
      </c>
      <c r="B49" s="44">
        <v>307.0</v>
      </c>
      <c r="C49" s="23"/>
      <c r="D49" s="42"/>
      <c r="E49" s="44">
        <v>12.1</v>
      </c>
      <c r="F49" s="44">
        <v>297.0</v>
      </c>
      <c r="G49" s="42"/>
      <c r="H49" s="42"/>
      <c r="I49" s="44">
        <v>3.09</v>
      </c>
      <c r="J49" s="44">
        <v>277.0</v>
      </c>
      <c r="M49" s="44">
        <v>26.0</v>
      </c>
      <c r="N49" s="44">
        <v>255.0</v>
      </c>
    </row>
    <row r="50" ht="12.75" customHeight="1">
      <c r="A50" s="45">
        <v>0.17222222222222222</v>
      </c>
      <c r="B50" s="44">
        <v>312.0</v>
      </c>
      <c r="C50" s="23"/>
      <c r="D50" s="42"/>
      <c r="E50" s="44">
        <v>12.0</v>
      </c>
      <c r="F50" s="44">
        <v>305.0</v>
      </c>
      <c r="G50" s="42"/>
      <c r="H50" s="42"/>
      <c r="I50" s="44">
        <v>3.13</v>
      </c>
      <c r="J50" s="44">
        <v>282.0</v>
      </c>
      <c r="M50" s="44">
        <v>26.5</v>
      </c>
      <c r="N50" s="44">
        <v>259.0</v>
      </c>
    </row>
    <row r="51" ht="12.75" customHeight="1">
      <c r="A51" s="45">
        <v>0.17083333333333334</v>
      </c>
      <c r="B51" s="44">
        <v>317.0</v>
      </c>
      <c r="C51" s="23"/>
      <c r="D51" s="42"/>
      <c r="E51" s="44">
        <v>11.9</v>
      </c>
      <c r="F51" s="44">
        <v>312.0</v>
      </c>
      <c r="G51" s="42"/>
      <c r="H51" s="42"/>
      <c r="I51" s="44">
        <v>3.17</v>
      </c>
      <c r="J51" s="44">
        <v>287.0</v>
      </c>
      <c r="M51" s="44">
        <v>27.0</v>
      </c>
      <c r="N51" s="44">
        <v>262.0</v>
      </c>
    </row>
    <row r="52" ht="12.75" customHeight="1">
      <c r="A52" s="45">
        <v>0.16944444444444445</v>
      </c>
      <c r="B52" s="44">
        <v>323.0</v>
      </c>
      <c r="C52" s="23"/>
      <c r="D52" s="42"/>
      <c r="E52" s="44">
        <v>11.8</v>
      </c>
      <c r="F52" s="44">
        <v>320.0</v>
      </c>
      <c r="G52" s="42"/>
      <c r="H52" s="42"/>
      <c r="I52" s="44">
        <v>3.21</v>
      </c>
      <c r="J52" s="44">
        <v>292.0</v>
      </c>
      <c r="M52" s="44">
        <v>27.5</v>
      </c>
      <c r="N52" s="44">
        <v>266.0</v>
      </c>
    </row>
    <row r="53" ht="12.75" customHeight="1">
      <c r="A53" s="45">
        <v>0.16805555555555557</v>
      </c>
      <c r="B53" s="44">
        <v>329.0</v>
      </c>
      <c r="C53" s="23"/>
      <c r="D53" s="42"/>
      <c r="E53" s="44">
        <v>11.7</v>
      </c>
      <c r="F53" s="44">
        <v>328.0</v>
      </c>
      <c r="G53" s="42"/>
      <c r="H53" s="42"/>
      <c r="I53" s="44">
        <v>3.25</v>
      </c>
      <c r="J53" s="44">
        <v>297.0</v>
      </c>
      <c r="M53" s="44">
        <v>28.0</v>
      </c>
      <c r="N53" s="44">
        <v>270.0</v>
      </c>
    </row>
    <row r="54" ht="12.75" customHeight="1">
      <c r="A54" s="45">
        <v>0.16666666666666666</v>
      </c>
      <c r="B54" s="44">
        <v>334.0</v>
      </c>
      <c r="C54" s="23"/>
      <c r="D54" s="42"/>
      <c r="E54" s="44">
        <v>11.6</v>
      </c>
      <c r="F54" s="44">
        <v>336.0</v>
      </c>
      <c r="G54" s="42"/>
      <c r="H54" s="42"/>
      <c r="I54" s="44">
        <v>3.29</v>
      </c>
      <c r="J54" s="44">
        <v>302.0</v>
      </c>
      <c r="M54" s="44">
        <v>28.5</v>
      </c>
      <c r="N54" s="44">
        <v>274.0</v>
      </c>
    </row>
    <row r="55" ht="12.75" customHeight="1">
      <c r="A55" s="45">
        <v>0.16527777777777777</v>
      </c>
      <c r="B55" s="44">
        <v>340.0</v>
      </c>
      <c r="C55" s="23"/>
      <c r="D55" s="42"/>
      <c r="E55" s="44">
        <v>11.5</v>
      </c>
      <c r="F55" s="44">
        <v>344.0</v>
      </c>
      <c r="G55" s="42"/>
      <c r="H55" s="42"/>
      <c r="I55" s="44">
        <v>3.33</v>
      </c>
      <c r="J55" s="44">
        <v>308.0</v>
      </c>
      <c r="M55" s="44">
        <v>29.0</v>
      </c>
      <c r="N55" s="44">
        <v>278.0</v>
      </c>
    </row>
    <row r="56" ht="12.75" customHeight="1">
      <c r="A56" s="45">
        <v>0.1638888888888889</v>
      </c>
      <c r="B56" s="44">
        <v>346.0</v>
      </c>
      <c r="C56" s="23"/>
      <c r="D56" s="42"/>
      <c r="E56" s="44">
        <v>11.4</v>
      </c>
      <c r="F56" s="44">
        <v>352.0</v>
      </c>
      <c r="G56" s="42"/>
      <c r="H56" s="42"/>
      <c r="I56" s="44">
        <v>3.37</v>
      </c>
      <c r="J56" s="44">
        <v>313.0</v>
      </c>
      <c r="M56" s="44">
        <v>29.5</v>
      </c>
      <c r="N56" s="44">
        <v>281.0</v>
      </c>
    </row>
    <row r="57" ht="12.75" customHeight="1">
      <c r="A57" s="45">
        <v>0.1625</v>
      </c>
      <c r="B57" s="44">
        <v>352.0</v>
      </c>
      <c r="C57" s="23"/>
      <c r="D57" s="42"/>
      <c r="E57" s="44">
        <v>11.3</v>
      </c>
      <c r="F57" s="44">
        <v>361.0</v>
      </c>
      <c r="G57" s="42"/>
      <c r="H57" s="42"/>
      <c r="I57" s="44">
        <v>3.41</v>
      </c>
      <c r="J57" s="44">
        <v>317.0</v>
      </c>
      <c r="M57" s="44">
        <v>30.0</v>
      </c>
      <c r="N57" s="44">
        <v>285.0</v>
      </c>
    </row>
    <row r="58" ht="12.75" customHeight="1">
      <c r="A58" s="45">
        <v>0.16111111111111112</v>
      </c>
      <c r="B58" s="44">
        <v>358.0</v>
      </c>
      <c r="C58" s="23"/>
      <c r="D58" s="42"/>
      <c r="E58" s="44">
        <v>11.2</v>
      </c>
      <c r="F58" s="44">
        <v>369.0</v>
      </c>
      <c r="G58" s="42"/>
      <c r="H58" s="42"/>
      <c r="I58" s="44">
        <v>3.45</v>
      </c>
      <c r="J58" s="44">
        <v>322.0</v>
      </c>
      <c r="M58" s="44">
        <v>30.5</v>
      </c>
      <c r="N58" s="44">
        <v>289.0</v>
      </c>
    </row>
    <row r="59" ht="12.75" customHeight="1">
      <c r="A59" s="45">
        <v>0.1597222222222222</v>
      </c>
      <c r="B59" s="44">
        <v>364.0</v>
      </c>
      <c r="C59" s="23"/>
      <c r="D59" s="42"/>
      <c r="E59" s="44">
        <v>11.1</v>
      </c>
      <c r="F59" s="44">
        <v>378.0</v>
      </c>
      <c r="G59" s="42"/>
      <c r="H59" s="42"/>
      <c r="I59" s="44">
        <v>3.49</v>
      </c>
      <c r="J59" s="44">
        <v>327.0</v>
      </c>
      <c r="M59" s="44">
        <v>31.0</v>
      </c>
      <c r="N59" s="44">
        <v>292.0</v>
      </c>
    </row>
    <row r="60" ht="12.75" customHeight="1">
      <c r="A60" s="45">
        <v>0.15833333333333333</v>
      </c>
      <c r="B60" s="44">
        <v>371.0</v>
      </c>
      <c r="C60" s="23"/>
      <c r="D60" s="42"/>
      <c r="E60" s="44">
        <v>11.0</v>
      </c>
      <c r="F60" s="44">
        <v>387.0</v>
      </c>
      <c r="G60" s="42"/>
      <c r="H60" s="42"/>
      <c r="I60" s="44">
        <v>3.53</v>
      </c>
      <c r="J60" s="44">
        <v>332.0</v>
      </c>
      <c r="M60" s="44">
        <v>31.5</v>
      </c>
      <c r="N60" s="44">
        <v>296.0</v>
      </c>
    </row>
    <row r="61" ht="12.75" customHeight="1">
      <c r="A61" s="45">
        <v>0.15694444444444444</v>
      </c>
      <c r="B61" s="44">
        <v>377.0</v>
      </c>
      <c r="C61" s="23"/>
      <c r="D61" s="42"/>
      <c r="E61" s="44">
        <v>10.9</v>
      </c>
      <c r="F61" s="44">
        <v>396.0</v>
      </c>
      <c r="G61" s="42"/>
      <c r="H61" s="42"/>
      <c r="I61" s="44">
        <v>3.57</v>
      </c>
      <c r="J61" s="44">
        <v>337.0</v>
      </c>
      <c r="M61" s="44">
        <v>32.0</v>
      </c>
      <c r="N61" s="44">
        <v>300.0</v>
      </c>
    </row>
    <row r="62" ht="12.75" customHeight="1">
      <c r="A62" s="45">
        <v>0.15555555555555556</v>
      </c>
      <c r="B62" s="44">
        <v>384.0</v>
      </c>
      <c r="C62" s="23"/>
      <c r="D62" s="42"/>
      <c r="E62" s="44">
        <v>10.8</v>
      </c>
      <c r="F62" s="44">
        <v>405.0</v>
      </c>
      <c r="G62" s="42"/>
      <c r="H62" s="42"/>
      <c r="I62" s="44">
        <v>3.61</v>
      </c>
      <c r="J62" s="44">
        <v>342.0</v>
      </c>
      <c r="M62" s="44">
        <v>32.5</v>
      </c>
      <c r="N62" s="44">
        <v>303.0</v>
      </c>
    </row>
    <row r="63" ht="12.75" customHeight="1">
      <c r="A63" s="45">
        <v>0.15416666666666667</v>
      </c>
      <c r="B63" s="44">
        <v>391.0</v>
      </c>
      <c r="C63" s="23"/>
      <c r="D63" s="42"/>
      <c r="E63" s="44">
        <v>10.7</v>
      </c>
      <c r="F63" s="44">
        <v>414.0</v>
      </c>
      <c r="G63" s="42"/>
      <c r="H63" s="42"/>
      <c r="I63" s="44">
        <v>3.65</v>
      </c>
      <c r="J63" s="44">
        <v>347.0</v>
      </c>
      <c r="M63" s="44">
        <v>33.0</v>
      </c>
      <c r="N63" s="44">
        <v>307.0</v>
      </c>
    </row>
    <row r="64" ht="12.75" customHeight="1">
      <c r="A64" s="45">
        <v>0.1527777777777778</v>
      </c>
      <c r="B64" s="44">
        <v>397.0</v>
      </c>
      <c r="C64" s="23"/>
      <c r="D64" s="42"/>
      <c r="E64" s="44">
        <v>10.6</v>
      </c>
      <c r="F64" s="44">
        <v>424.0</v>
      </c>
      <c r="G64" s="42"/>
      <c r="H64" s="42"/>
      <c r="I64" s="44">
        <v>3.69</v>
      </c>
      <c r="J64" s="44">
        <v>351.0</v>
      </c>
      <c r="M64" s="44">
        <v>33.5</v>
      </c>
      <c r="N64" s="44">
        <v>310.0</v>
      </c>
    </row>
    <row r="65" ht="12.75" customHeight="1">
      <c r="A65" s="45">
        <v>0.15138888888888888</v>
      </c>
      <c r="B65" s="44">
        <v>404.0</v>
      </c>
      <c r="C65" s="23"/>
      <c r="D65" s="42"/>
      <c r="E65" s="44">
        <v>10.5</v>
      </c>
      <c r="F65" s="44">
        <v>434.0</v>
      </c>
      <c r="G65" s="42"/>
      <c r="H65" s="42"/>
      <c r="I65" s="44">
        <v>3.73</v>
      </c>
      <c r="J65" s="44">
        <v>356.0</v>
      </c>
      <c r="M65" s="44">
        <v>34.0</v>
      </c>
      <c r="N65" s="44">
        <v>314.0</v>
      </c>
    </row>
    <row r="66" ht="12.75" customHeight="1">
      <c r="A66" s="45">
        <v>0.15</v>
      </c>
      <c r="B66" s="44">
        <v>411.0</v>
      </c>
      <c r="C66" s="23"/>
      <c r="D66" s="42"/>
      <c r="E66" s="44">
        <v>10.4</v>
      </c>
      <c r="F66" s="44">
        <v>444.0</v>
      </c>
      <c r="G66" s="42"/>
      <c r="H66" s="42"/>
      <c r="I66" s="44">
        <v>3.77</v>
      </c>
      <c r="J66" s="44">
        <v>361.0</v>
      </c>
      <c r="M66" s="44">
        <v>34.5</v>
      </c>
      <c r="N66" s="44">
        <v>317.0</v>
      </c>
    </row>
    <row r="67" ht="12.75" customHeight="1">
      <c r="A67" s="45">
        <v>0.14930555555555555</v>
      </c>
      <c r="B67" s="44">
        <v>415.0</v>
      </c>
      <c r="C67" s="23"/>
      <c r="D67" s="42"/>
      <c r="E67" s="44">
        <v>10.3</v>
      </c>
      <c r="F67" s="44">
        <v>454.0</v>
      </c>
      <c r="G67" s="42"/>
      <c r="H67" s="42"/>
      <c r="I67" s="44">
        <v>3.81</v>
      </c>
      <c r="J67" s="44">
        <v>366.0</v>
      </c>
      <c r="M67" s="44">
        <v>35.0</v>
      </c>
      <c r="N67" s="44">
        <v>320.0</v>
      </c>
    </row>
    <row r="68" ht="12.75" customHeight="1">
      <c r="A68" s="45">
        <v>0.1486111111111111</v>
      </c>
      <c r="B68" s="44">
        <v>419.0</v>
      </c>
      <c r="C68" s="23"/>
      <c r="D68" s="42"/>
      <c r="E68" s="44">
        <v>10.2</v>
      </c>
      <c r="F68" s="44">
        <v>464.0</v>
      </c>
      <c r="G68" s="42"/>
      <c r="H68" s="42"/>
      <c r="I68" s="44">
        <v>3.85</v>
      </c>
      <c r="J68" s="44">
        <v>370.0</v>
      </c>
      <c r="M68" s="44">
        <v>35.5</v>
      </c>
      <c r="N68" s="44">
        <v>324.0</v>
      </c>
    </row>
    <row r="69" ht="12.75" customHeight="1">
      <c r="A69" s="45">
        <v>0.14791666666666667</v>
      </c>
      <c r="B69" s="44">
        <v>422.0</v>
      </c>
      <c r="C69" s="23"/>
      <c r="D69" s="42"/>
      <c r="E69" s="44">
        <v>10.1</v>
      </c>
      <c r="F69" s="44">
        <v>474.0</v>
      </c>
      <c r="G69" s="42"/>
      <c r="H69" s="42"/>
      <c r="I69" s="44">
        <v>3.89</v>
      </c>
      <c r="J69" s="44">
        <v>375.0</v>
      </c>
      <c r="M69" s="44">
        <v>36.0</v>
      </c>
      <c r="N69" s="44">
        <v>327.0</v>
      </c>
    </row>
    <row r="70" ht="12.75" customHeight="1">
      <c r="A70" s="45">
        <v>0.14722222222222223</v>
      </c>
      <c r="B70" s="44">
        <v>426.0</v>
      </c>
      <c r="C70" s="23"/>
      <c r="D70" s="42"/>
      <c r="E70" s="44">
        <v>10.0</v>
      </c>
      <c r="F70" s="44">
        <v>485.0</v>
      </c>
      <c r="G70" s="42"/>
      <c r="H70" s="42"/>
      <c r="I70" s="44">
        <v>3.93</v>
      </c>
      <c r="J70" s="44">
        <v>379.0</v>
      </c>
      <c r="M70" s="44">
        <v>36.5</v>
      </c>
      <c r="N70" s="44">
        <v>331.0</v>
      </c>
    </row>
    <row r="71" ht="12.75" customHeight="1">
      <c r="A71" s="45">
        <v>0.14652777777777778</v>
      </c>
      <c r="B71" s="44">
        <v>430.0</v>
      </c>
      <c r="C71" s="23"/>
      <c r="D71" s="42"/>
      <c r="E71" s="44">
        <v>9.9</v>
      </c>
      <c r="F71" s="44">
        <v>496.0</v>
      </c>
      <c r="G71" s="42"/>
      <c r="H71" s="42"/>
      <c r="I71" s="44">
        <v>3.97</v>
      </c>
      <c r="J71" s="44">
        <v>384.0</v>
      </c>
      <c r="M71" s="44">
        <v>37.0</v>
      </c>
      <c r="N71" s="44">
        <v>334.0</v>
      </c>
    </row>
    <row r="72" ht="12.75" customHeight="1">
      <c r="A72" s="45">
        <v>0.14583333333333334</v>
      </c>
      <c r="B72" s="44">
        <v>433.0</v>
      </c>
      <c r="C72" s="23"/>
      <c r="D72" s="42"/>
      <c r="E72" s="44">
        <v>9.8</v>
      </c>
      <c r="F72" s="44">
        <v>507.0</v>
      </c>
      <c r="G72" s="42"/>
      <c r="H72" s="42"/>
      <c r="I72" s="44">
        <v>4.01</v>
      </c>
      <c r="J72" s="44">
        <v>389.0</v>
      </c>
      <c r="M72" s="44">
        <v>37.5</v>
      </c>
      <c r="N72" s="44">
        <v>337.0</v>
      </c>
    </row>
    <row r="73" ht="12.75" customHeight="1">
      <c r="A73" s="45">
        <v>0.1451388888888889</v>
      </c>
      <c r="B73" s="44">
        <v>437.0</v>
      </c>
      <c r="C73" s="23"/>
      <c r="D73" s="42"/>
      <c r="E73" s="44">
        <v>9.7</v>
      </c>
      <c r="F73" s="44">
        <v>518.0</v>
      </c>
      <c r="G73" s="42"/>
      <c r="H73" s="42"/>
      <c r="I73" s="44">
        <v>4.05</v>
      </c>
      <c r="J73" s="44">
        <v>393.0</v>
      </c>
      <c r="M73" s="44">
        <v>38.0</v>
      </c>
      <c r="N73" s="44">
        <v>341.0</v>
      </c>
    </row>
    <row r="74" ht="12.75" customHeight="1">
      <c r="A74" s="45">
        <v>0.14444444444444443</v>
      </c>
      <c r="B74" s="44">
        <v>441.0</v>
      </c>
      <c r="C74" s="23"/>
      <c r="D74" s="42"/>
      <c r="E74" s="44">
        <v>9.6</v>
      </c>
      <c r="F74" s="44">
        <v>530.0</v>
      </c>
      <c r="G74" s="42"/>
      <c r="H74" s="42"/>
      <c r="I74" s="44">
        <v>4.09</v>
      </c>
      <c r="J74" s="44">
        <v>398.0</v>
      </c>
      <c r="M74" s="44">
        <v>38.5</v>
      </c>
      <c r="N74" s="44">
        <v>344.0</v>
      </c>
    </row>
    <row r="75" ht="12.75" customHeight="1">
      <c r="A75" s="45">
        <v>0.14375</v>
      </c>
      <c r="B75" s="44">
        <v>445.0</v>
      </c>
      <c r="C75" s="23"/>
      <c r="D75" s="42"/>
      <c r="E75" s="44">
        <v>9.5</v>
      </c>
      <c r="F75" s="44">
        <v>542.0</v>
      </c>
      <c r="G75" s="42"/>
      <c r="H75" s="42"/>
      <c r="I75" s="44">
        <v>4.13</v>
      </c>
      <c r="J75" s="44">
        <v>402.0</v>
      </c>
      <c r="M75" s="44">
        <v>39.0</v>
      </c>
      <c r="N75" s="44">
        <v>347.0</v>
      </c>
    </row>
    <row r="76" ht="12.75" customHeight="1">
      <c r="A76" s="45">
        <v>0.14305555555555555</v>
      </c>
      <c r="B76" s="44">
        <v>449.0</v>
      </c>
      <c r="C76" s="23"/>
      <c r="D76" s="42"/>
      <c r="E76" s="44">
        <v>9.4</v>
      </c>
      <c r="F76" s="44">
        <v>554.0</v>
      </c>
      <c r="G76" s="42"/>
      <c r="H76" s="42"/>
      <c r="I76" s="44">
        <v>4.17</v>
      </c>
      <c r="J76" s="44">
        <v>407.0</v>
      </c>
      <c r="M76" s="44">
        <v>39.5</v>
      </c>
      <c r="N76" s="44">
        <v>350.0</v>
      </c>
    </row>
    <row r="77" ht="12.75" customHeight="1">
      <c r="A77" s="45">
        <v>0.1423611111111111</v>
      </c>
      <c r="B77" s="44">
        <v>453.0</v>
      </c>
      <c r="C77" s="23"/>
      <c r="D77" s="42"/>
      <c r="E77" s="44">
        <v>9.3</v>
      </c>
      <c r="F77" s="44">
        <v>560.0</v>
      </c>
      <c r="G77" s="42"/>
      <c r="H77" s="42"/>
      <c r="I77" s="44">
        <v>4.21</v>
      </c>
      <c r="J77" s="44">
        <v>411.0</v>
      </c>
      <c r="M77" s="44">
        <v>40.0</v>
      </c>
      <c r="N77" s="44">
        <v>353.0</v>
      </c>
    </row>
    <row r="78" ht="12.75" customHeight="1">
      <c r="A78" s="45">
        <v>0.14166666666666666</v>
      </c>
      <c r="B78" s="44">
        <v>457.0</v>
      </c>
      <c r="C78" s="23"/>
      <c r="D78" s="42"/>
      <c r="E78" s="44">
        <v>9.2</v>
      </c>
      <c r="F78" s="44">
        <v>565.0</v>
      </c>
      <c r="G78" s="42"/>
      <c r="H78" s="42"/>
      <c r="I78" s="44">
        <v>4.25</v>
      </c>
      <c r="J78" s="44">
        <v>416.0</v>
      </c>
      <c r="M78" s="44">
        <v>40.5</v>
      </c>
      <c r="N78" s="44">
        <v>357.0</v>
      </c>
    </row>
    <row r="79" ht="12.75" customHeight="1">
      <c r="A79" s="45">
        <v>0.14097222222222222</v>
      </c>
      <c r="B79" s="44">
        <v>461.0</v>
      </c>
      <c r="C79" s="23"/>
      <c r="D79" s="42"/>
      <c r="E79" s="44">
        <v>9.1</v>
      </c>
      <c r="F79" s="44">
        <v>570.0</v>
      </c>
      <c r="G79" s="42"/>
      <c r="H79" s="42"/>
      <c r="I79" s="44">
        <v>4.29</v>
      </c>
      <c r="J79" s="44">
        <v>420.0</v>
      </c>
      <c r="M79" s="44">
        <v>41.0</v>
      </c>
      <c r="N79" s="44">
        <v>360.0</v>
      </c>
    </row>
    <row r="80" ht="12.75" customHeight="1">
      <c r="A80" s="45">
        <v>0.14027777777777778</v>
      </c>
      <c r="B80" s="44">
        <v>465.0</v>
      </c>
      <c r="C80" s="23"/>
      <c r="D80" s="42"/>
      <c r="E80" s="44">
        <v>9.0</v>
      </c>
      <c r="F80" s="44">
        <v>575.0</v>
      </c>
      <c r="G80" s="42"/>
      <c r="H80" s="42"/>
      <c r="I80" s="44">
        <v>4.33</v>
      </c>
      <c r="J80" s="44">
        <v>424.0</v>
      </c>
      <c r="M80" s="44">
        <v>41.5</v>
      </c>
      <c r="N80" s="44">
        <v>363.0</v>
      </c>
    </row>
    <row r="81" ht="12.75" customHeight="1">
      <c r="A81" s="45">
        <v>0.13958333333333334</v>
      </c>
      <c r="B81" s="44">
        <v>469.0</v>
      </c>
      <c r="C81" s="23"/>
      <c r="D81" s="42"/>
      <c r="E81" s="44"/>
      <c r="F81" s="44"/>
      <c r="G81" s="42"/>
      <c r="H81" s="42"/>
      <c r="I81" s="44">
        <v>4.37</v>
      </c>
      <c r="J81" s="44">
        <v>429.0</v>
      </c>
      <c r="M81" s="44">
        <v>42.0</v>
      </c>
      <c r="N81" s="44">
        <v>366.0</v>
      </c>
    </row>
    <row r="82" ht="12.75" customHeight="1">
      <c r="A82" s="45">
        <v>0.1388888888888889</v>
      </c>
      <c r="B82" s="44">
        <v>473.0</v>
      </c>
      <c r="C82" s="23"/>
      <c r="D82" s="42"/>
      <c r="E82" s="44"/>
      <c r="F82" s="44"/>
      <c r="G82" s="42"/>
      <c r="H82" s="42"/>
      <c r="I82" s="44">
        <v>4.41</v>
      </c>
      <c r="J82" s="44">
        <v>433.0</v>
      </c>
      <c r="M82" s="44">
        <v>42.5</v>
      </c>
      <c r="N82" s="44">
        <v>369.0</v>
      </c>
    </row>
    <row r="83" ht="12.75" customHeight="1">
      <c r="A83" s="45">
        <v>0.13819444444444445</v>
      </c>
      <c r="B83" s="44">
        <v>477.0</v>
      </c>
      <c r="C83" s="23"/>
      <c r="D83" s="42"/>
      <c r="E83" s="44"/>
      <c r="F83" s="44"/>
      <c r="G83" s="42"/>
      <c r="H83" s="42"/>
      <c r="I83" s="44">
        <v>4.45</v>
      </c>
      <c r="J83" s="44">
        <v>438.0</v>
      </c>
      <c r="M83" s="44">
        <v>43.0</v>
      </c>
      <c r="N83" s="44">
        <v>372.0</v>
      </c>
    </row>
    <row r="84" ht="12.75" customHeight="1">
      <c r="A84" s="45">
        <v>0.1375</v>
      </c>
      <c r="B84" s="44">
        <v>482.0</v>
      </c>
      <c r="C84" s="23"/>
      <c r="D84" s="42"/>
      <c r="E84" s="44"/>
      <c r="F84" s="44"/>
      <c r="G84" s="42"/>
      <c r="H84" s="42"/>
      <c r="I84" s="44">
        <v>4.49</v>
      </c>
      <c r="J84" s="44">
        <v>442.0</v>
      </c>
      <c r="M84" s="44">
        <v>43.5</v>
      </c>
      <c r="N84" s="44">
        <v>375.0</v>
      </c>
    </row>
    <row r="85" ht="12.75" customHeight="1">
      <c r="A85" s="45">
        <v>0.13680555555555557</v>
      </c>
      <c r="B85" s="44">
        <v>486.0</v>
      </c>
      <c r="C85" s="23"/>
      <c r="D85" s="42"/>
      <c r="E85" s="44"/>
      <c r="F85" s="44"/>
      <c r="G85" s="42"/>
      <c r="H85" s="42"/>
      <c r="I85" s="44">
        <v>4.53</v>
      </c>
      <c r="J85" s="44">
        <v>446.0</v>
      </c>
      <c r="M85" s="44">
        <v>44.0</v>
      </c>
      <c r="N85" s="44">
        <v>378.0</v>
      </c>
    </row>
    <row r="86" ht="12.75" customHeight="1">
      <c r="A86" s="45">
        <v>0.1361111111111111</v>
      </c>
      <c r="B86" s="44">
        <v>490.0</v>
      </c>
      <c r="C86" s="23"/>
      <c r="D86" s="42"/>
      <c r="E86" s="44"/>
      <c r="F86" s="44"/>
      <c r="G86" s="42"/>
      <c r="H86" s="42"/>
      <c r="I86" s="44">
        <v>4.57</v>
      </c>
      <c r="J86" s="44">
        <v>450.0</v>
      </c>
      <c r="M86" s="44">
        <v>44.5</v>
      </c>
      <c r="N86" s="44">
        <v>381.0</v>
      </c>
    </row>
    <row r="87" ht="12.75" customHeight="1">
      <c r="A87" s="45">
        <v>0.13541666666666666</v>
      </c>
      <c r="B87" s="44">
        <v>495.0</v>
      </c>
      <c r="C87" s="23"/>
      <c r="D87" s="42"/>
      <c r="E87" s="44"/>
      <c r="F87" s="44"/>
      <c r="G87" s="42"/>
      <c r="H87" s="42"/>
      <c r="I87" s="44">
        <v>4.61</v>
      </c>
      <c r="J87" s="44">
        <v>455.0</v>
      </c>
      <c r="M87" s="44">
        <v>45.0</v>
      </c>
      <c r="N87" s="44">
        <v>384.0</v>
      </c>
    </row>
    <row r="88" ht="12.75" customHeight="1">
      <c r="A88" s="45">
        <v>0.13472222222222222</v>
      </c>
      <c r="B88" s="44">
        <v>499.0</v>
      </c>
      <c r="C88" s="23"/>
      <c r="D88" s="42"/>
      <c r="E88" s="44"/>
      <c r="F88" s="44"/>
      <c r="G88" s="42"/>
      <c r="H88" s="42"/>
      <c r="I88" s="44">
        <v>4.65</v>
      </c>
      <c r="J88" s="44">
        <v>459.0</v>
      </c>
      <c r="M88" s="44">
        <v>45.5</v>
      </c>
      <c r="N88" s="44">
        <v>387.0</v>
      </c>
    </row>
    <row r="89" ht="12.75" customHeight="1">
      <c r="A89" s="45">
        <v>0.13402777777777777</v>
      </c>
      <c r="B89" s="44">
        <v>503.0</v>
      </c>
      <c r="C89" s="23"/>
      <c r="D89" s="42"/>
      <c r="E89" s="44"/>
      <c r="F89" s="44"/>
      <c r="G89" s="42"/>
      <c r="H89" s="42"/>
      <c r="I89" s="44">
        <v>4.69</v>
      </c>
      <c r="J89" s="44">
        <v>463.0</v>
      </c>
      <c r="M89" s="44">
        <v>46.0</v>
      </c>
      <c r="N89" s="44">
        <v>390.0</v>
      </c>
    </row>
    <row r="90" ht="12.75" customHeight="1">
      <c r="A90" s="45">
        <v>0.13333333333333333</v>
      </c>
      <c r="B90" s="44">
        <v>508.0</v>
      </c>
      <c r="C90" s="23"/>
      <c r="D90" s="42"/>
      <c r="E90" s="44"/>
      <c r="F90" s="44"/>
      <c r="G90" s="42"/>
      <c r="H90" s="42"/>
      <c r="I90" s="44">
        <v>4.73</v>
      </c>
      <c r="J90" s="44">
        <v>467.0</v>
      </c>
      <c r="M90" s="44">
        <v>46.5</v>
      </c>
      <c r="N90" s="44">
        <v>393.0</v>
      </c>
    </row>
    <row r="91" ht="12.75" customHeight="1">
      <c r="A91" s="45">
        <v>0.1326388888888889</v>
      </c>
      <c r="B91" s="44">
        <v>512.0</v>
      </c>
      <c r="C91" s="23"/>
      <c r="D91" s="42"/>
      <c r="E91" s="44"/>
      <c r="F91" s="44"/>
      <c r="G91" s="42"/>
      <c r="H91" s="42"/>
      <c r="I91" s="44">
        <v>4.77</v>
      </c>
      <c r="J91" s="44">
        <v>472.0</v>
      </c>
      <c r="M91" s="44">
        <v>47.0</v>
      </c>
      <c r="N91" s="44">
        <v>396.0</v>
      </c>
    </row>
    <row r="92" ht="12.75" customHeight="1">
      <c r="A92" s="45">
        <v>0.13194444444444445</v>
      </c>
      <c r="B92" s="44">
        <v>517.0</v>
      </c>
      <c r="C92" s="23"/>
      <c r="D92" s="42"/>
      <c r="E92" s="44"/>
      <c r="F92" s="44"/>
      <c r="G92" s="42"/>
      <c r="H92" s="42"/>
      <c r="I92" s="44">
        <v>4.81</v>
      </c>
      <c r="J92" s="44">
        <v>476.0</v>
      </c>
      <c r="M92" s="44">
        <v>47.5</v>
      </c>
      <c r="N92" s="44">
        <v>399.0</v>
      </c>
    </row>
    <row r="93" ht="12.75" customHeight="1">
      <c r="A93" s="45">
        <v>0.13125</v>
      </c>
      <c r="B93" s="44">
        <v>522.0</v>
      </c>
      <c r="C93" s="23"/>
      <c r="D93" s="42"/>
      <c r="E93" s="44"/>
      <c r="F93" s="44"/>
      <c r="G93" s="42"/>
      <c r="H93" s="42"/>
      <c r="I93" s="44">
        <v>4.85</v>
      </c>
      <c r="J93" s="44">
        <v>480.0</v>
      </c>
      <c r="M93" s="44">
        <v>48.0</v>
      </c>
      <c r="N93" s="44">
        <v>402.0</v>
      </c>
    </row>
    <row r="94" ht="12.75" customHeight="1">
      <c r="A94" s="45">
        <v>0.13055555555555556</v>
      </c>
      <c r="B94" s="44">
        <v>526.0</v>
      </c>
      <c r="C94" s="23"/>
      <c r="D94" s="42"/>
      <c r="E94" s="44"/>
      <c r="F94" s="44"/>
      <c r="G94" s="42"/>
      <c r="H94" s="42"/>
      <c r="I94" s="44">
        <v>4.89</v>
      </c>
      <c r="J94" s="44">
        <v>484.0</v>
      </c>
      <c r="M94" s="44">
        <v>48.5</v>
      </c>
      <c r="N94" s="44">
        <v>405.0</v>
      </c>
    </row>
    <row r="95" ht="12.75" customHeight="1">
      <c r="A95" s="45">
        <v>0.12986111111111112</v>
      </c>
      <c r="B95" s="44">
        <v>531.0</v>
      </c>
      <c r="C95" s="23"/>
      <c r="D95" s="42"/>
      <c r="E95" s="44"/>
      <c r="F95" s="44"/>
      <c r="G95" s="42"/>
      <c r="H95" s="42"/>
      <c r="I95" s="44">
        <v>4.93</v>
      </c>
      <c r="J95" s="44">
        <v>488.0</v>
      </c>
      <c r="M95" s="44">
        <v>49.0</v>
      </c>
      <c r="N95" s="44">
        <v>408.0</v>
      </c>
    </row>
    <row r="96" ht="12.75" customHeight="1">
      <c r="A96" s="45">
        <v>0.12916666666666668</v>
      </c>
      <c r="B96" s="44">
        <v>536.0</v>
      </c>
      <c r="C96" s="23"/>
      <c r="D96" s="42"/>
      <c r="E96" s="44"/>
      <c r="F96" s="44"/>
      <c r="G96" s="42"/>
      <c r="H96" s="42"/>
      <c r="I96" s="44">
        <v>4.97</v>
      </c>
      <c r="J96" s="44">
        <v>492.0</v>
      </c>
      <c r="M96" s="44">
        <v>49.5</v>
      </c>
      <c r="N96" s="44">
        <v>411.0</v>
      </c>
    </row>
    <row r="97" ht="12.75" customHeight="1">
      <c r="A97" s="45">
        <v>0.1284722222222222</v>
      </c>
      <c r="B97" s="44">
        <v>541.0</v>
      </c>
      <c r="C97" s="23"/>
      <c r="D97" s="42"/>
      <c r="E97" s="44"/>
      <c r="F97" s="44"/>
      <c r="G97" s="42"/>
      <c r="H97" s="42"/>
      <c r="I97" s="44">
        <v>5.01</v>
      </c>
      <c r="J97" s="44">
        <v>496.0</v>
      </c>
      <c r="M97" s="44">
        <v>50.0</v>
      </c>
      <c r="N97" s="44">
        <v>414.0</v>
      </c>
    </row>
    <row r="98" ht="12.75" customHeight="1">
      <c r="A98" s="45">
        <v>0.12777777777777777</v>
      </c>
      <c r="B98" s="44">
        <v>546.0</v>
      </c>
      <c r="C98" s="23"/>
      <c r="D98" s="42"/>
      <c r="E98" s="44"/>
      <c r="F98" s="44"/>
      <c r="G98" s="42"/>
      <c r="H98" s="42"/>
      <c r="I98" s="44">
        <v>5.05</v>
      </c>
      <c r="J98" s="44">
        <v>500.0</v>
      </c>
      <c r="M98" s="44">
        <v>50.5</v>
      </c>
      <c r="N98" s="44">
        <v>416.0</v>
      </c>
    </row>
    <row r="99" ht="12.75" customHeight="1">
      <c r="A99" s="45">
        <v>0.12708333333333333</v>
      </c>
      <c r="B99" s="44">
        <v>551.0</v>
      </c>
      <c r="C99" s="23"/>
      <c r="D99" s="42"/>
      <c r="E99" s="44"/>
      <c r="F99" s="44"/>
      <c r="G99" s="42"/>
      <c r="H99" s="42"/>
      <c r="I99" s="44">
        <v>5.09</v>
      </c>
      <c r="J99" s="44">
        <v>504.0</v>
      </c>
      <c r="M99" s="44">
        <v>51.0</v>
      </c>
      <c r="N99" s="44">
        <v>419.0</v>
      </c>
    </row>
    <row r="100" ht="12.75" customHeight="1">
      <c r="A100" s="45">
        <v>0.12638888888888888</v>
      </c>
      <c r="B100" s="44">
        <v>556.0</v>
      </c>
      <c r="C100" s="23"/>
      <c r="D100" s="42"/>
      <c r="E100" s="44"/>
      <c r="F100" s="44"/>
      <c r="G100" s="42"/>
      <c r="H100" s="42"/>
      <c r="I100" s="44">
        <v>5.13</v>
      </c>
      <c r="J100" s="44">
        <v>508.0</v>
      </c>
      <c r="M100" s="44">
        <v>51.5</v>
      </c>
      <c r="N100" s="44">
        <v>422.0</v>
      </c>
    </row>
    <row r="101" ht="12.75" customHeight="1">
      <c r="A101" s="45">
        <v>0.12569444444444444</v>
      </c>
      <c r="B101" s="44">
        <v>561.0</v>
      </c>
      <c r="C101" s="23"/>
      <c r="D101" s="42"/>
      <c r="E101" s="44"/>
      <c r="F101" s="44"/>
      <c r="G101" s="42"/>
      <c r="H101" s="42"/>
      <c r="I101" s="44">
        <v>5.17</v>
      </c>
      <c r="J101" s="44">
        <v>513.0</v>
      </c>
      <c r="M101" s="44">
        <v>52.0</v>
      </c>
      <c r="N101" s="44">
        <v>425.0</v>
      </c>
    </row>
    <row r="102" ht="12.75" customHeight="1">
      <c r="A102" s="45">
        <v>0.125</v>
      </c>
      <c r="B102" s="44">
        <v>566.0</v>
      </c>
      <c r="C102" s="23"/>
      <c r="D102" s="42"/>
      <c r="E102" s="42"/>
      <c r="F102" s="42"/>
      <c r="G102" s="42"/>
      <c r="H102" s="42"/>
      <c r="I102" s="44">
        <v>5.21</v>
      </c>
      <c r="J102" s="44">
        <v>517.0</v>
      </c>
      <c r="M102" s="44">
        <v>52.5</v>
      </c>
      <c r="N102" s="44">
        <v>428.0</v>
      </c>
    </row>
    <row r="103" ht="12.75" customHeight="1">
      <c r="A103" s="45">
        <v>0.12430555555555556</v>
      </c>
      <c r="B103" s="44">
        <v>571.0</v>
      </c>
      <c r="C103" s="23"/>
      <c r="D103" s="42"/>
      <c r="E103" s="42"/>
      <c r="F103" s="42"/>
      <c r="G103" s="42"/>
      <c r="H103" s="42"/>
      <c r="I103" s="44">
        <v>5.25</v>
      </c>
      <c r="J103" s="44">
        <v>521.0</v>
      </c>
      <c r="M103" s="44">
        <v>53.0</v>
      </c>
      <c r="N103" s="44">
        <v>430.0</v>
      </c>
    </row>
    <row r="104" ht="12.75" customHeight="1">
      <c r="A104" s="45">
        <v>0.12361111111111112</v>
      </c>
      <c r="B104" s="44">
        <v>576.0</v>
      </c>
      <c r="C104" s="23"/>
      <c r="D104" s="42"/>
      <c r="E104" s="42"/>
      <c r="F104" s="42"/>
      <c r="G104" s="42"/>
      <c r="H104" s="42"/>
      <c r="I104" s="44">
        <v>5.29</v>
      </c>
      <c r="J104" s="44">
        <v>524.0</v>
      </c>
      <c r="M104" s="44">
        <v>53.5</v>
      </c>
      <c r="N104" s="44">
        <v>433.0</v>
      </c>
    </row>
    <row r="105" ht="12.75" customHeight="1">
      <c r="A105" s="45">
        <v>0.12291666666666666</v>
      </c>
      <c r="B105" s="44">
        <v>581.0</v>
      </c>
      <c r="C105" s="23"/>
      <c r="D105" s="42"/>
      <c r="E105" s="42"/>
      <c r="F105" s="42"/>
      <c r="G105" s="42"/>
      <c r="H105" s="42"/>
      <c r="I105" s="44">
        <v>5.33</v>
      </c>
      <c r="J105" s="44">
        <v>528.0</v>
      </c>
      <c r="M105" s="44">
        <v>54.0</v>
      </c>
      <c r="N105" s="44">
        <v>436.0</v>
      </c>
    </row>
    <row r="106" ht="12.75" customHeight="1">
      <c r="A106" s="45">
        <v>0.12222222222222222</v>
      </c>
      <c r="B106" s="44">
        <v>587.0</v>
      </c>
      <c r="C106" s="23"/>
      <c r="D106" s="42"/>
      <c r="E106" s="42"/>
      <c r="F106" s="42"/>
      <c r="G106" s="42"/>
      <c r="H106" s="42"/>
      <c r="I106" s="44">
        <v>5.37</v>
      </c>
      <c r="J106" s="44">
        <v>532.0</v>
      </c>
      <c r="M106" s="44">
        <v>54.5</v>
      </c>
      <c r="N106" s="44">
        <v>439.0</v>
      </c>
    </row>
    <row r="107" ht="12.75" customHeight="1">
      <c r="A107" s="45">
        <v>0.12152777777777778</v>
      </c>
      <c r="B107" s="44">
        <v>592.0</v>
      </c>
      <c r="C107" s="23"/>
      <c r="D107" s="42"/>
      <c r="E107" s="42"/>
      <c r="F107" s="42"/>
      <c r="G107" s="42"/>
      <c r="H107" s="42"/>
      <c r="I107" s="44">
        <v>5.41</v>
      </c>
      <c r="J107" s="44">
        <v>536.0</v>
      </c>
      <c r="M107" s="44">
        <v>55.0</v>
      </c>
      <c r="N107" s="44">
        <v>441.0</v>
      </c>
    </row>
    <row r="108" ht="12.75" customHeight="1">
      <c r="A108" s="45">
        <v>0.12083333333333333</v>
      </c>
      <c r="B108" s="44">
        <v>598.0</v>
      </c>
      <c r="C108" s="23"/>
      <c r="D108" s="42"/>
      <c r="E108" s="42"/>
      <c r="F108" s="42"/>
      <c r="G108" s="42"/>
      <c r="H108" s="42"/>
      <c r="I108" s="44">
        <v>5.45</v>
      </c>
      <c r="J108" s="44">
        <v>540.0</v>
      </c>
      <c r="M108" s="44">
        <v>55.5</v>
      </c>
      <c r="N108" s="44">
        <v>444.0</v>
      </c>
    </row>
    <row r="109" ht="12.75" customHeight="1">
      <c r="A109" s="45">
        <v>0.12013888888888889</v>
      </c>
      <c r="B109" s="44">
        <v>603.0</v>
      </c>
      <c r="C109" s="23"/>
      <c r="D109" s="42"/>
      <c r="E109" s="42"/>
      <c r="F109" s="42"/>
      <c r="G109" s="42"/>
      <c r="H109" s="42"/>
      <c r="I109" s="44">
        <v>5.49</v>
      </c>
      <c r="J109" s="44">
        <v>544.0</v>
      </c>
      <c r="M109" s="44">
        <v>56.0</v>
      </c>
      <c r="N109" s="44">
        <v>447.0</v>
      </c>
    </row>
    <row r="110" ht="12.75" customHeight="1">
      <c r="A110" s="45">
        <v>0.11944444444444445</v>
      </c>
      <c r="B110" s="44">
        <v>609.0</v>
      </c>
      <c r="C110" s="23"/>
      <c r="D110" s="42"/>
      <c r="E110" s="42"/>
      <c r="F110" s="42"/>
      <c r="G110" s="42"/>
      <c r="H110" s="42"/>
      <c r="I110" s="44">
        <v>5.53</v>
      </c>
      <c r="J110" s="44">
        <v>548.0</v>
      </c>
      <c r="M110" s="44">
        <v>56.5</v>
      </c>
      <c r="N110" s="44">
        <v>450.0</v>
      </c>
    </row>
    <row r="111" ht="12.75" customHeight="1">
      <c r="A111" s="45">
        <v>0.11875</v>
      </c>
      <c r="B111" s="44">
        <v>614.0</v>
      </c>
      <c r="C111" s="23"/>
      <c r="D111" s="42"/>
      <c r="E111" s="42"/>
      <c r="F111" s="42"/>
      <c r="G111" s="42"/>
      <c r="H111" s="42"/>
      <c r="I111" s="44">
        <v>5.57</v>
      </c>
      <c r="J111" s="44">
        <v>552.0</v>
      </c>
      <c r="M111" s="44">
        <v>57.0</v>
      </c>
      <c r="N111" s="44">
        <v>452.0</v>
      </c>
    </row>
    <row r="112" ht="12.75" customHeight="1">
      <c r="A112" s="45">
        <v>0.11805555555555555</v>
      </c>
      <c r="B112" s="44">
        <v>620.0</v>
      </c>
      <c r="C112" s="23"/>
      <c r="D112" s="42"/>
      <c r="E112" s="42"/>
      <c r="F112" s="42"/>
      <c r="G112" s="42"/>
      <c r="H112" s="42"/>
      <c r="I112" s="44">
        <v>5.61</v>
      </c>
      <c r="J112" s="44">
        <v>556.0</v>
      </c>
      <c r="M112" s="44">
        <v>57.5</v>
      </c>
      <c r="N112" s="44">
        <v>455.0</v>
      </c>
    </row>
    <row r="113" ht="12.75" customHeight="1">
      <c r="A113" s="45">
        <v>0.11736111111111111</v>
      </c>
      <c r="B113" s="44">
        <v>626.0</v>
      </c>
      <c r="C113" s="23"/>
      <c r="D113" s="42"/>
      <c r="E113" s="42"/>
      <c r="F113" s="42"/>
      <c r="G113" s="42"/>
      <c r="H113" s="42"/>
      <c r="I113" s="44">
        <v>5.65</v>
      </c>
      <c r="J113" s="44">
        <v>560.0</v>
      </c>
      <c r="M113" s="44">
        <v>58.0</v>
      </c>
      <c r="N113" s="44">
        <v>458.0</v>
      </c>
    </row>
    <row r="114" ht="12.75" customHeight="1">
      <c r="A114" s="45">
        <v>0.11666666666666667</v>
      </c>
      <c r="B114" s="44">
        <v>632.0</v>
      </c>
      <c r="C114" s="23"/>
      <c r="D114" s="42"/>
      <c r="E114" s="42"/>
      <c r="F114" s="42"/>
      <c r="G114" s="42"/>
      <c r="H114" s="42"/>
      <c r="I114" s="44">
        <v>5.69</v>
      </c>
      <c r="J114" s="44">
        <v>563.0</v>
      </c>
      <c r="M114" s="44">
        <v>58.5</v>
      </c>
      <c r="N114" s="44">
        <v>460.0</v>
      </c>
    </row>
    <row r="115" ht="12.75" customHeight="1">
      <c r="A115" s="45">
        <v>0.11597222222222223</v>
      </c>
      <c r="B115" s="44">
        <v>638.0</v>
      </c>
      <c r="C115" s="23"/>
      <c r="D115" s="42"/>
      <c r="E115" s="42"/>
      <c r="F115" s="42"/>
      <c r="G115" s="42"/>
      <c r="H115" s="42"/>
      <c r="I115" s="44">
        <v>5.73</v>
      </c>
      <c r="J115" s="44">
        <v>567.0</v>
      </c>
      <c r="M115" s="44">
        <v>59.0</v>
      </c>
      <c r="N115" s="44">
        <v>463.0</v>
      </c>
    </row>
    <row r="116" ht="12.75" customHeight="1">
      <c r="A116" s="45">
        <v>0.11527777777777778</v>
      </c>
      <c r="B116" s="44">
        <v>644.0</v>
      </c>
      <c r="C116" s="23"/>
      <c r="D116" s="42"/>
      <c r="E116" s="42"/>
      <c r="F116" s="42"/>
      <c r="G116" s="42"/>
      <c r="H116" s="42"/>
      <c r="I116" s="44">
        <v>5.77</v>
      </c>
      <c r="J116" s="44">
        <v>571.0</v>
      </c>
      <c r="M116" s="44">
        <v>59.5</v>
      </c>
      <c r="N116" s="44">
        <v>465.0</v>
      </c>
    </row>
    <row r="117" ht="12.75" customHeight="1">
      <c r="A117" s="45">
        <v>0.11458333333333333</v>
      </c>
      <c r="B117" s="44">
        <v>650.0</v>
      </c>
      <c r="C117" s="23"/>
      <c r="D117" s="42"/>
      <c r="E117" s="42"/>
      <c r="F117" s="42"/>
      <c r="G117" s="42"/>
      <c r="H117" s="42"/>
      <c r="I117" s="44">
        <v>5.81</v>
      </c>
      <c r="J117" s="44">
        <v>575.0</v>
      </c>
      <c r="M117" s="44">
        <v>60.0</v>
      </c>
      <c r="N117" s="44">
        <v>468.0</v>
      </c>
    </row>
    <row r="118" ht="12.75" customHeight="1">
      <c r="A118" s="45">
        <v>0.11388888888888889</v>
      </c>
      <c r="B118" s="44">
        <v>656.0</v>
      </c>
      <c r="C118" s="23"/>
      <c r="D118" s="42"/>
      <c r="E118" s="42"/>
      <c r="F118" s="42"/>
      <c r="G118" s="42"/>
      <c r="H118" s="42"/>
      <c r="I118" s="44">
        <v>5.85</v>
      </c>
      <c r="J118" s="44">
        <v>579.0</v>
      </c>
      <c r="M118" s="44">
        <v>60.5</v>
      </c>
      <c r="N118" s="44">
        <v>471.0</v>
      </c>
    </row>
    <row r="119" ht="12.75" customHeight="1">
      <c r="A119" s="45">
        <v>0.11319444444444444</v>
      </c>
      <c r="B119" s="44">
        <v>662.0</v>
      </c>
      <c r="C119" s="23"/>
      <c r="D119" s="42"/>
      <c r="E119" s="42"/>
      <c r="F119" s="42"/>
      <c r="G119" s="42"/>
      <c r="H119" s="42"/>
      <c r="I119" s="44">
        <v>5.89</v>
      </c>
      <c r="J119" s="44">
        <v>582.0</v>
      </c>
      <c r="M119" s="44">
        <v>61.0</v>
      </c>
      <c r="N119" s="44">
        <v>473.0</v>
      </c>
    </row>
    <row r="120" ht="12.75" customHeight="1">
      <c r="A120" s="45">
        <v>0.1125</v>
      </c>
      <c r="B120" s="44">
        <v>669.0</v>
      </c>
      <c r="C120" s="23"/>
      <c r="D120" s="42"/>
      <c r="E120" s="42"/>
      <c r="F120" s="42"/>
      <c r="G120" s="42"/>
      <c r="H120" s="42"/>
      <c r="I120" s="44">
        <v>5.93</v>
      </c>
      <c r="J120" s="44">
        <v>586.0</v>
      </c>
      <c r="M120" s="44">
        <v>61.5</v>
      </c>
      <c r="N120" s="44">
        <v>476.0</v>
      </c>
    </row>
    <row r="121" ht="12.75" customHeight="1">
      <c r="A121" s="45">
        <v>0.11180555555555556</v>
      </c>
      <c r="B121" s="44">
        <v>675.0</v>
      </c>
      <c r="C121" s="23"/>
      <c r="D121" s="42"/>
      <c r="E121" s="42"/>
      <c r="F121" s="42"/>
      <c r="G121" s="42"/>
      <c r="H121" s="42"/>
      <c r="I121" s="44">
        <v>5.97</v>
      </c>
      <c r="J121" s="44">
        <v>590.0</v>
      </c>
      <c r="M121" s="44">
        <v>62.0</v>
      </c>
      <c r="N121" s="44">
        <v>478.0</v>
      </c>
    </row>
    <row r="122" ht="12.75" customHeight="1">
      <c r="A122" s="45">
        <v>0.1111111111111111</v>
      </c>
      <c r="B122" s="44">
        <v>682.0</v>
      </c>
      <c r="C122" s="23"/>
      <c r="D122" s="42"/>
      <c r="E122" s="42"/>
      <c r="F122" s="42"/>
      <c r="G122" s="42"/>
      <c r="H122" s="42"/>
      <c r="I122" s="44">
        <v>6.01</v>
      </c>
      <c r="J122" s="44">
        <v>594.0</v>
      </c>
      <c r="M122" s="44">
        <v>62.5</v>
      </c>
      <c r="N122" s="44">
        <v>481.0</v>
      </c>
    </row>
    <row r="123" ht="12.75" customHeight="1">
      <c r="A123" s="45"/>
      <c r="B123" s="44"/>
      <c r="C123" s="23"/>
      <c r="D123" s="42"/>
      <c r="E123" s="42"/>
      <c r="F123" s="42"/>
      <c r="G123" s="42"/>
      <c r="H123" s="42"/>
      <c r="I123" s="44">
        <v>6.05</v>
      </c>
      <c r="J123" s="44">
        <v>597.0</v>
      </c>
      <c r="M123" s="44">
        <v>63.0</v>
      </c>
      <c r="N123" s="44">
        <v>483.0</v>
      </c>
    </row>
    <row r="124" ht="12.75" customHeight="1">
      <c r="A124" s="45"/>
      <c r="B124" s="44"/>
      <c r="C124" s="23"/>
      <c r="D124" s="42"/>
      <c r="E124" s="42"/>
      <c r="F124" s="42"/>
      <c r="G124" s="42"/>
      <c r="H124" s="42"/>
      <c r="I124" s="44">
        <v>6.09</v>
      </c>
      <c r="J124" s="44">
        <v>601.0</v>
      </c>
      <c r="M124" s="44">
        <v>63.5</v>
      </c>
      <c r="N124" s="44">
        <v>486.0</v>
      </c>
    </row>
    <row r="125" ht="12.75" customHeight="1">
      <c r="A125" s="45"/>
      <c r="B125" s="44"/>
      <c r="C125" s="23"/>
      <c r="D125" s="42"/>
      <c r="E125" s="42"/>
      <c r="F125" s="42"/>
      <c r="G125" s="42"/>
      <c r="H125" s="42"/>
      <c r="I125" s="44">
        <v>6.13</v>
      </c>
      <c r="J125" s="44">
        <v>605.0</v>
      </c>
      <c r="M125" s="44">
        <v>64.0</v>
      </c>
      <c r="N125" s="44">
        <v>489.0</v>
      </c>
    </row>
    <row r="126" ht="12.75" customHeight="1">
      <c r="A126" s="45"/>
      <c r="B126" s="44"/>
      <c r="C126" s="23"/>
      <c r="D126" s="42"/>
      <c r="E126" s="42"/>
      <c r="F126" s="42"/>
      <c r="G126" s="42"/>
      <c r="H126" s="42"/>
      <c r="I126" s="44">
        <v>6.17</v>
      </c>
      <c r="J126" s="44">
        <v>608.0</v>
      </c>
      <c r="M126" s="44">
        <v>64.5</v>
      </c>
      <c r="N126" s="44">
        <v>491.0</v>
      </c>
    </row>
    <row r="127" ht="12.75" customHeight="1">
      <c r="A127" s="45"/>
      <c r="B127" s="44"/>
      <c r="C127" s="23"/>
      <c r="D127" s="42"/>
      <c r="E127" s="42"/>
      <c r="F127" s="42"/>
      <c r="G127" s="42"/>
      <c r="H127" s="42"/>
      <c r="I127" s="44">
        <v>6.21</v>
      </c>
      <c r="J127" s="44">
        <v>612.0</v>
      </c>
      <c r="M127" s="44">
        <v>65.0</v>
      </c>
      <c r="N127" s="44">
        <v>494.0</v>
      </c>
    </row>
    <row r="128" ht="12.75" customHeight="1">
      <c r="A128" s="45"/>
      <c r="B128" s="44"/>
      <c r="C128" s="23"/>
      <c r="D128" s="42"/>
      <c r="E128" s="42"/>
      <c r="F128" s="42"/>
      <c r="G128" s="42"/>
      <c r="H128" s="42"/>
      <c r="I128" s="44">
        <v>6.25</v>
      </c>
      <c r="J128" s="44">
        <v>616.0</v>
      </c>
      <c r="M128" s="44">
        <v>65.5</v>
      </c>
      <c r="N128" s="44">
        <v>496.0</v>
      </c>
    </row>
    <row r="129" ht="12.75" customHeight="1">
      <c r="A129" s="45"/>
      <c r="B129" s="44"/>
      <c r="C129" s="23"/>
      <c r="D129" s="42"/>
      <c r="E129" s="42"/>
      <c r="F129" s="42"/>
      <c r="G129" s="42"/>
      <c r="H129" s="42"/>
      <c r="I129" s="44">
        <v>6.29</v>
      </c>
      <c r="J129" s="44">
        <v>619.0</v>
      </c>
      <c r="M129" s="44">
        <v>66.0</v>
      </c>
      <c r="N129" s="44">
        <v>499.0</v>
      </c>
    </row>
    <row r="130" ht="12.75" customHeight="1">
      <c r="A130" s="45"/>
      <c r="B130" s="44"/>
      <c r="C130" s="23"/>
      <c r="D130" s="42"/>
      <c r="E130" s="42"/>
      <c r="F130" s="42"/>
      <c r="G130" s="42"/>
      <c r="H130" s="42"/>
      <c r="I130" s="44">
        <v>6.33</v>
      </c>
      <c r="J130" s="44">
        <v>623.0</v>
      </c>
      <c r="M130" s="44">
        <v>66.5</v>
      </c>
      <c r="N130" s="44">
        <v>501.0</v>
      </c>
    </row>
    <row r="131" ht="12.75" customHeight="1">
      <c r="A131" s="45"/>
      <c r="B131" s="44"/>
      <c r="C131" s="23"/>
      <c r="D131" s="42"/>
      <c r="E131" s="42"/>
      <c r="F131" s="42"/>
      <c r="G131" s="42"/>
      <c r="H131" s="42"/>
      <c r="I131" s="44">
        <v>6.37</v>
      </c>
      <c r="J131" s="44">
        <v>627.0</v>
      </c>
      <c r="M131" s="44">
        <v>67.0</v>
      </c>
      <c r="N131" s="44">
        <v>503.0</v>
      </c>
    </row>
    <row r="132" ht="12.75" customHeight="1">
      <c r="A132" s="45"/>
      <c r="B132" s="44"/>
      <c r="C132" s="23"/>
      <c r="D132" s="42"/>
      <c r="E132" s="42"/>
      <c r="F132" s="42"/>
      <c r="G132" s="42"/>
      <c r="H132" s="42"/>
      <c r="I132" s="44">
        <v>6.41</v>
      </c>
      <c r="J132" s="44">
        <v>630.0</v>
      </c>
      <c r="M132" s="44">
        <v>67.5</v>
      </c>
      <c r="N132" s="44">
        <v>506.0</v>
      </c>
    </row>
    <row r="133" ht="12.75" customHeight="1">
      <c r="A133" s="45"/>
      <c r="B133" s="44"/>
      <c r="C133" s="23"/>
      <c r="D133" s="42"/>
      <c r="E133" s="42"/>
      <c r="F133" s="42"/>
      <c r="G133" s="42"/>
      <c r="H133" s="42"/>
      <c r="I133" s="44">
        <v>6.45</v>
      </c>
      <c r="J133" s="44">
        <v>634.0</v>
      </c>
      <c r="M133" s="44">
        <v>68.0</v>
      </c>
      <c r="N133" s="44">
        <v>508.0</v>
      </c>
    </row>
    <row r="134" ht="12.75" customHeight="1">
      <c r="A134" s="45"/>
      <c r="B134" s="44"/>
      <c r="C134" s="23"/>
      <c r="D134" s="42"/>
      <c r="E134" s="42"/>
      <c r="F134" s="42"/>
      <c r="G134" s="42"/>
      <c r="H134" s="42"/>
      <c r="I134" s="44">
        <v>6.49</v>
      </c>
      <c r="J134" s="44">
        <v>638.0</v>
      </c>
      <c r="M134" s="44">
        <v>68.5</v>
      </c>
      <c r="N134" s="44">
        <v>511.0</v>
      </c>
    </row>
    <row r="135" ht="12.75" customHeight="1">
      <c r="A135" s="45"/>
      <c r="B135" s="44"/>
      <c r="C135" s="23"/>
      <c r="D135" s="42"/>
      <c r="E135" s="42"/>
      <c r="F135" s="42"/>
      <c r="G135" s="42"/>
      <c r="H135" s="42"/>
      <c r="I135" s="44">
        <v>6.53</v>
      </c>
      <c r="J135" s="44">
        <v>641.0</v>
      </c>
      <c r="M135" s="44">
        <v>69.0</v>
      </c>
      <c r="N135" s="44">
        <v>513.0</v>
      </c>
    </row>
    <row r="136" ht="12.75" customHeight="1">
      <c r="A136" s="45"/>
      <c r="B136" s="44"/>
      <c r="C136" s="23"/>
      <c r="D136" s="42"/>
      <c r="E136" s="42"/>
      <c r="F136" s="42"/>
      <c r="G136" s="42"/>
      <c r="H136" s="42"/>
      <c r="I136" s="44">
        <v>6.57</v>
      </c>
      <c r="J136" s="44">
        <v>645.0</v>
      </c>
      <c r="M136" s="44">
        <v>69.5</v>
      </c>
      <c r="N136" s="44">
        <v>516.0</v>
      </c>
    </row>
    <row r="137" ht="12.75" customHeight="1">
      <c r="A137" s="23"/>
      <c r="B137" s="23"/>
      <c r="C137" s="23"/>
      <c r="D137" s="42"/>
      <c r="E137" s="42"/>
      <c r="F137" s="42"/>
      <c r="G137" s="42"/>
      <c r="H137" s="42"/>
      <c r="I137" s="44">
        <v>6.61</v>
      </c>
      <c r="J137" s="44">
        <v>648.0</v>
      </c>
      <c r="M137" s="44">
        <v>70.0</v>
      </c>
      <c r="N137" s="44">
        <v>518.0</v>
      </c>
    </row>
    <row r="138" ht="12.75" customHeight="1">
      <c r="A138" s="23"/>
      <c r="B138" s="23"/>
      <c r="C138" s="23"/>
      <c r="D138" s="42"/>
      <c r="E138" s="42"/>
      <c r="F138" s="42"/>
      <c r="G138" s="42"/>
      <c r="H138" s="42"/>
      <c r="I138" s="44">
        <v>6.65</v>
      </c>
      <c r="J138" s="44">
        <v>652.0</v>
      </c>
      <c r="M138" s="44">
        <v>70.5</v>
      </c>
      <c r="N138" s="44">
        <v>521.0</v>
      </c>
    </row>
    <row r="139" ht="12.75" customHeight="1">
      <c r="A139" s="23"/>
      <c r="B139" s="23"/>
      <c r="C139" s="23"/>
      <c r="D139" s="42"/>
      <c r="E139" s="42"/>
      <c r="F139" s="42"/>
      <c r="G139" s="42"/>
      <c r="H139" s="42"/>
      <c r="I139" s="44">
        <v>6.69</v>
      </c>
      <c r="J139" s="44">
        <v>655.0</v>
      </c>
      <c r="M139" s="44">
        <v>71.0</v>
      </c>
      <c r="N139" s="44">
        <v>523.0</v>
      </c>
    </row>
    <row r="140" ht="12.75" customHeight="1">
      <c r="A140" s="23"/>
      <c r="B140" s="23"/>
      <c r="C140" s="23"/>
      <c r="D140" s="42"/>
      <c r="E140" s="42"/>
      <c r="F140" s="42"/>
      <c r="G140" s="42"/>
      <c r="H140" s="42"/>
      <c r="I140" s="44">
        <v>6.73</v>
      </c>
      <c r="J140" s="44">
        <v>659.0</v>
      </c>
      <c r="M140" s="44">
        <v>71.5</v>
      </c>
      <c r="N140" s="44">
        <v>525.0</v>
      </c>
    </row>
    <row r="141" ht="12.75" customHeight="1">
      <c r="A141" s="23"/>
      <c r="B141" s="23"/>
      <c r="C141" s="23"/>
      <c r="D141" s="42"/>
      <c r="E141" s="42"/>
      <c r="F141" s="42"/>
      <c r="G141" s="42"/>
      <c r="H141" s="42"/>
      <c r="I141" s="44">
        <v>6.77</v>
      </c>
      <c r="J141" s="44">
        <v>662.0</v>
      </c>
      <c r="M141" s="44">
        <v>72.0</v>
      </c>
      <c r="N141" s="44">
        <v>528.0</v>
      </c>
    </row>
    <row r="142" ht="12.75" customHeight="1">
      <c r="A142" s="23"/>
      <c r="B142" s="23"/>
      <c r="C142" s="23"/>
      <c r="D142" s="42"/>
      <c r="E142" s="42"/>
      <c r="F142" s="42"/>
      <c r="G142" s="42"/>
      <c r="H142" s="42"/>
      <c r="I142" s="44">
        <v>6.81</v>
      </c>
      <c r="J142" s="44">
        <v>666.0</v>
      </c>
      <c r="M142" s="44">
        <v>72.5</v>
      </c>
      <c r="N142" s="44">
        <v>530.0</v>
      </c>
    </row>
    <row r="143" ht="12.75" customHeight="1">
      <c r="A143" s="23"/>
      <c r="B143" s="23"/>
      <c r="C143" s="23"/>
      <c r="D143" s="42"/>
      <c r="E143" s="42"/>
      <c r="F143" s="42"/>
      <c r="G143" s="42"/>
      <c r="H143" s="42"/>
      <c r="I143" s="44">
        <v>6.85</v>
      </c>
      <c r="J143" s="44">
        <v>669.0</v>
      </c>
      <c r="M143" s="44">
        <v>73.0</v>
      </c>
      <c r="N143" s="44">
        <v>532.0</v>
      </c>
    </row>
    <row r="144" ht="12.75" customHeight="1">
      <c r="A144" s="23"/>
      <c r="B144" s="23"/>
      <c r="C144" s="23"/>
      <c r="D144" s="42"/>
      <c r="E144" s="42"/>
      <c r="F144" s="42"/>
      <c r="G144" s="42"/>
      <c r="H144" s="42"/>
      <c r="I144" s="44">
        <v>6.89</v>
      </c>
      <c r="J144" s="44">
        <v>673.0</v>
      </c>
      <c r="M144" s="44">
        <v>73.5</v>
      </c>
      <c r="N144" s="44">
        <v>535.0</v>
      </c>
    </row>
    <row r="145" ht="12.75" customHeight="1">
      <c r="A145" s="23"/>
      <c r="B145" s="23"/>
      <c r="C145" s="23"/>
      <c r="D145" s="42"/>
      <c r="E145" s="42"/>
      <c r="F145" s="42"/>
      <c r="G145" s="42"/>
      <c r="H145" s="42"/>
      <c r="I145" s="44">
        <v>6.93</v>
      </c>
      <c r="J145" s="44">
        <v>676.0</v>
      </c>
      <c r="M145" s="44">
        <v>74.0</v>
      </c>
      <c r="N145" s="44">
        <v>537.0</v>
      </c>
    </row>
    <row r="146" ht="12.75" customHeight="1">
      <c r="A146" s="23"/>
      <c r="B146" s="23"/>
      <c r="C146" s="23"/>
      <c r="D146" s="42"/>
      <c r="E146" s="42"/>
      <c r="F146" s="42"/>
      <c r="G146" s="42"/>
      <c r="H146" s="42"/>
      <c r="I146" s="44">
        <v>6.97</v>
      </c>
      <c r="J146" s="44">
        <v>680.0</v>
      </c>
      <c r="M146" s="44">
        <v>74.5</v>
      </c>
      <c r="N146" s="44">
        <v>539.0</v>
      </c>
    </row>
    <row r="147" ht="12.75" customHeight="1">
      <c r="A147" s="23"/>
      <c r="B147" s="23"/>
      <c r="C147" s="23"/>
      <c r="D147" s="42"/>
      <c r="E147" s="42"/>
      <c r="F147" s="42"/>
      <c r="G147" s="42"/>
      <c r="H147" s="42"/>
      <c r="I147" s="44">
        <v>7.01</v>
      </c>
      <c r="J147" s="44">
        <v>683.0</v>
      </c>
      <c r="M147" s="44">
        <v>75.0</v>
      </c>
      <c r="N147" s="44">
        <v>542.0</v>
      </c>
    </row>
    <row r="148" ht="12.75" customHeight="1">
      <c r="A148" s="23"/>
      <c r="B148" s="23"/>
      <c r="C148" s="23"/>
      <c r="D148" s="42"/>
      <c r="E148" s="42"/>
      <c r="F148" s="42"/>
      <c r="G148" s="42"/>
      <c r="H148" s="42"/>
      <c r="I148" s="44">
        <v>7.05</v>
      </c>
      <c r="J148" s="44">
        <v>687.0</v>
      </c>
      <c r="M148" s="44">
        <v>75.5</v>
      </c>
      <c r="N148" s="44">
        <v>544.0</v>
      </c>
    </row>
    <row r="149" ht="12.75" customHeight="1">
      <c r="I149" s="44">
        <v>7.09</v>
      </c>
      <c r="J149" s="44">
        <v>690.0</v>
      </c>
      <c r="M149" s="44">
        <v>76.0</v>
      </c>
      <c r="N149" s="44">
        <v>546.0</v>
      </c>
    </row>
    <row r="150" ht="12.75" customHeight="1">
      <c r="I150" s="44">
        <v>7.13</v>
      </c>
      <c r="J150" s="44">
        <v>694.0</v>
      </c>
      <c r="M150" s="44">
        <v>76.5</v>
      </c>
      <c r="N150" s="44">
        <v>549.0</v>
      </c>
    </row>
    <row r="151" ht="12.75" customHeight="1">
      <c r="I151" s="44">
        <v>7.17</v>
      </c>
      <c r="J151" s="44">
        <v>697.0</v>
      </c>
      <c r="M151" s="44">
        <v>77.0</v>
      </c>
      <c r="N151" s="44">
        <v>551.0</v>
      </c>
    </row>
    <row r="152" ht="12.75" customHeight="1">
      <c r="I152" s="44">
        <v>7.21</v>
      </c>
      <c r="J152" s="44">
        <v>700.0</v>
      </c>
      <c r="M152" s="44">
        <v>77.5</v>
      </c>
      <c r="N152" s="44">
        <v>553.0</v>
      </c>
    </row>
    <row r="153" ht="12.75" customHeight="1">
      <c r="I153" s="44">
        <v>7.25</v>
      </c>
      <c r="J153" s="44">
        <v>704.0</v>
      </c>
      <c r="M153" s="44">
        <v>78.0</v>
      </c>
      <c r="N153" s="44">
        <v>556.0</v>
      </c>
    </row>
    <row r="154" ht="12.75" customHeight="1">
      <c r="I154" s="44">
        <v>7.29</v>
      </c>
      <c r="J154" s="44">
        <v>707.0</v>
      </c>
      <c r="M154" s="44">
        <v>78.5</v>
      </c>
      <c r="N154" s="44">
        <v>558.0</v>
      </c>
    </row>
    <row r="155" ht="12.75" customHeight="1">
      <c r="I155" s="44">
        <v>7.33</v>
      </c>
      <c r="J155" s="44">
        <v>711.0</v>
      </c>
      <c r="M155" s="44">
        <v>79.0</v>
      </c>
      <c r="N155" s="44">
        <v>560.0</v>
      </c>
    </row>
    <row r="156" ht="12.75" customHeight="1">
      <c r="I156" s="44">
        <v>7.37</v>
      </c>
      <c r="J156" s="44">
        <v>714.0</v>
      </c>
      <c r="M156" s="44">
        <v>79.5</v>
      </c>
      <c r="N156" s="44">
        <v>562.0</v>
      </c>
    </row>
    <row r="157" ht="12.75" customHeight="1">
      <c r="I157" s="44">
        <v>7.41</v>
      </c>
      <c r="J157" s="44">
        <v>717.0</v>
      </c>
      <c r="M157" s="44">
        <v>80.0</v>
      </c>
      <c r="N157" s="44">
        <v>565.0</v>
      </c>
    </row>
    <row r="158" ht="12.75" customHeight="1">
      <c r="I158" s="44">
        <v>7.45</v>
      </c>
      <c r="J158" s="44">
        <v>721.0</v>
      </c>
      <c r="M158" s="44">
        <v>80.5</v>
      </c>
      <c r="N158" s="44">
        <v>567.0</v>
      </c>
    </row>
    <row r="159" ht="12.75" customHeight="1">
      <c r="I159" s="44">
        <v>7.49</v>
      </c>
      <c r="J159" s="44">
        <v>724.0</v>
      </c>
      <c r="M159" s="44">
        <v>81.0</v>
      </c>
      <c r="N159" s="44">
        <v>569.0</v>
      </c>
    </row>
    <row r="160" ht="12.75" customHeight="1">
      <c r="I160" s="44">
        <v>7.53</v>
      </c>
      <c r="J160" s="44">
        <v>727.0</v>
      </c>
      <c r="M160" s="44">
        <v>81.5</v>
      </c>
      <c r="N160" s="44">
        <v>571.0</v>
      </c>
    </row>
    <row r="161" ht="12.75" customHeight="1">
      <c r="I161" s="44">
        <v>7.57</v>
      </c>
      <c r="J161" s="44">
        <v>731.0</v>
      </c>
      <c r="M161" s="44">
        <v>82.0</v>
      </c>
      <c r="N161" s="44">
        <v>574.0</v>
      </c>
    </row>
    <row r="162" ht="12.75" customHeight="1">
      <c r="I162" s="44">
        <v>7.61</v>
      </c>
      <c r="J162" s="44">
        <v>734.0</v>
      </c>
      <c r="M162" s="44">
        <v>82.5</v>
      </c>
      <c r="N162" s="44">
        <v>576.0</v>
      </c>
    </row>
    <row r="163" ht="12.75" customHeight="1">
      <c r="I163" s="44">
        <v>7.65</v>
      </c>
      <c r="J163" s="44">
        <v>737.0</v>
      </c>
      <c r="M163" s="44">
        <v>83.0</v>
      </c>
      <c r="N163" s="44">
        <v>578.0</v>
      </c>
    </row>
    <row r="164" ht="12.75" customHeight="1">
      <c r="I164" s="44">
        <v>7.69</v>
      </c>
      <c r="J164" s="44">
        <v>741.0</v>
      </c>
      <c r="M164" s="44">
        <v>83.5</v>
      </c>
      <c r="N164" s="44">
        <v>580.0</v>
      </c>
    </row>
    <row r="165" ht="12.75" customHeight="1">
      <c r="I165" s="44">
        <v>7.73</v>
      </c>
      <c r="J165" s="44">
        <v>744.0</v>
      </c>
      <c r="M165" s="44">
        <v>84.0</v>
      </c>
      <c r="N165" s="44">
        <v>582.0</v>
      </c>
    </row>
    <row r="166" ht="12.75" customHeight="1">
      <c r="I166" s="44">
        <v>7.77</v>
      </c>
      <c r="J166" s="44">
        <v>747.0</v>
      </c>
      <c r="M166" s="44">
        <v>84.5</v>
      </c>
      <c r="N166" s="44">
        <v>585.0</v>
      </c>
    </row>
    <row r="167" ht="12.75" customHeight="1">
      <c r="I167" s="44">
        <v>7.81</v>
      </c>
      <c r="J167" s="44">
        <v>750.0</v>
      </c>
      <c r="M167" s="44">
        <v>85.0</v>
      </c>
      <c r="N167" s="44">
        <v>587.0</v>
      </c>
    </row>
    <row r="168" ht="12.75" customHeight="1">
      <c r="I168" s="44">
        <v>7.85</v>
      </c>
      <c r="J168" s="44">
        <v>754.0</v>
      </c>
      <c r="M168" s="44">
        <v>85.5</v>
      </c>
      <c r="N168" s="44">
        <v>589.0</v>
      </c>
    </row>
    <row r="169" ht="12.75" customHeight="1">
      <c r="I169" s="44">
        <v>7.89</v>
      </c>
      <c r="J169" s="44">
        <v>757.0</v>
      </c>
      <c r="M169" s="44">
        <v>86.0</v>
      </c>
      <c r="N169" s="44">
        <v>591.0</v>
      </c>
    </row>
    <row r="170" ht="12.75" customHeight="1">
      <c r="I170" s="44">
        <v>7.93</v>
      </c>
      <c r="J170" s="44">
        <v>760.0</v>
      </c>
      <c r="M170" s="44">
        <v>86.5</v>
      </c>
      <c r="N170" s="44">
        <v>593.0</v>
      </c>
    </row>
    <row r="171" ht="12.75" customHeight="1">
      <c r="I171" s="44">
        <v>7.97</v>
      </c>
      <c r="J171" s="44">
        <v>763.0</v>
      </c>
      <c r="M171" s="44">
        <v>87.0</v>
      </c>
      <c r="N171" s="44">
        <v>596.0</v>
      </c>
    </row>
    <row r="172" ht="12.75" customHeight="1">
      <c r="I172" s="44">
        <v>8.01</v>
      </c>
      <c r="J172" s="44">
        <v>767.0</v>
      </c>
      <c r="M172" s="44">
        <v>87.5</v>
      </c>
      <c r="N172" s="44">
        <v>598.0</v>
      </c>
    </row>
    <row r="173" ht="12.75" customHeight="1">
      <c r="I173" s="44">
        <v>8.05</v>
      </c>
      <c r="J173" s="44">
        <v>770.0</v>
      </c>
      <c r="M173" s="44">
        <v>88.0</v>
      </c>
      <c r="N173" s="44">
        <v>600.0</v>
      </c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F1"/>
    <mergeCell ref="A3:B3"/>
    <mergeCell ref="E3:F3"/>
    <mergeCell ref="I3:J3"/>
    <mergeCell ref="M3:N3"/>
  </mergeCells>
  <printOptions/>
  <pageMargins bottom="0.787401575" footer="0.0" header="0.0" left="0.7" right="0.7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43.5" customHeight="1">
      <c r="A1" s="36" t="s">
        <v>41</v>
      </c>
      <c r="B1" s="37"/>
      <c r="C1" s="37"/>
      <c r="D1" s="37"/>
      <c r="E1" s="37"/>
      <c r="F1" s="38"/>
    </row>
    <row r="2" ht="12.75" customHeight="1"/>
    <row r="3" ht="19.5" customHeight="1">
      <c r="A3" s="39" t="s">
        <v>42</v>
      </c>
      <c r="B3" s="40"/>
      <c r="C3" s="41"/>
      <c r="D3" s="42"/>
      <c r="E3" s="43" t="s">
        <v>43</v>
      </c>
      <c r="F3" s="40"/>
      <c r="G3" s="42"/>
      <c r="H3" s="42"/>
      <c r="I3" s="39" t="s">
        <v>44</v>
      </c>
      <c r="J3" s="40"/>
      <c r="M3" s="39" t="s">
        <v>45</v>
      </c>
      <c r="N3" s="40"/>
    </row>
    <row r="4" ht="12.75" customHeight="1">
      <c r="A4" s="44" t="s">
        <v>27</v>
      </c>
      <c r="B4" s="44" t="s">
        <v>28</v>
      </c>
      <c r="C4" s="23"/>
      <c r="D4" s="23"/>
      <c r="E4" s="44" t="s">
        <v>29</v>
      </c>
      <c r="F4" s="44" t="s">
        <v>28</v>
      </c>
      <c r="G4" s="23"/>
      <c r="H4" s="23"/>
      <c r="I4" s="44" t="s">
        <v>30</v>
      </c>
      <c r="J4" s="44" t="s">
        <v>28</v>
      </c>
      <c r="M4" s="44" t="s">
        <v>30</v>
      </c>
      <c r="N4" s="44" t="s">
        <v>28</v>
      </c>
    </row>
    <row r="5" ht="12.75" customHeight="1">
      <c r="A5" s="45">
        <v>0.2708333333333333</v>
      </c>
      <c r="B5" s="44">
        <v>4.0</v>
      </c>
      <c r="C5" s="23"/>
      <c r="D5" s="42"/>
      <c r="E5" s="44">
        <v>18.4</v>
      </c>
      <c r="F5" s="44">
        <v>3.0</v>
      </c>
      <c r="G5" s="42"/>
      <c r="H5" s="42"/>
      <c r="I5" s="44">
        <v>1.21</v>
      </c>
      <c r="J5" s="44">
        <v>3.0</v>
      </c>
      <c r="M5" s="44">
        <v>2.5</v>
      </c>
      <c r="N5" s="44">
        <v>15.0</v>
      </c>
    </row>
    <row r="6" ht="12.75" customHeight="1">
      <c r="A6" s="45">
        <v>0.2673611111111111</v>
      </c>
      <c r="B6" s="44">
        <v>8.0</v>
      </c>
      <c r="C6" s="23"/>
      <c r="D6" s="42"/>
      <c r="E6" s="44">
        <v>18.3</v>
      </c>
      <c r="F6" s="44">
        <v>7.0</v>
      </c>
      <c r="G6" s="42"/>
      <c r="H6" s="42"/>
      <c r="I6" s="44">
        <v>1.25</v>
      </c>
      <c r="J6" s="44">
        <v>11.0</v>
      </c>
      <c r="M6" s="44">
        <v>3.0</v>
      </c>
      <c r="N6" s="44">
        <v>30.0</v>
      </c>
    </row>
    <row r="7" ht="12.75" customHeight="1">
      <c r="A7" s="45">
        <v>0.2638888888888889</v>
      </c>
      <c r="B7" s="44">
        <v>12.0</v>
      </c>
      <c r="C7" s="23"/>
      <c r="D7" s="42"/>
      <c r="E7" s="44">
        <v>18.2</v>
      </c>
      <c r="F7" s="44">
        <v>10.0</v>
      </c>
      <c r="G7" s="42"/>
      <c r="H7" s="42"/>
      <c r="I7" s="44">
        <v>1.29</v>
      </c>
      <c r="J7" s="44">
        <v>20.0</v>
      </c>
      <c r="M7" s="44">
        <v>3.5</v>
      </c>
      <c r="N7" s="44">
        <v>43.0</v>
      </c>
    </row>
    <row r="8" ht="12.75" customHeight="1">
      <c r="A8" s="45">
        <v>0.2604166666666667</v>
      </c>
      <c r="B8" s="44">
        <v>17.0</v>
      </c>
      <c r="C8" s="23"/>
      <c r="D8" s="42"/>
      <c r="E8" s="44">
        <v>18.1</v>
      </c>
      <c r="F8" s="44">
        <v>13.0</v>
      </c>
      <c r="G8" s="42"/>
      <c r="H8" s="42"/>
      <c r="I8" s="44">
        <v>1.33</v>
      </c>
      <c r="J8" s="44">
        <v>28.0</v>
      </c>
      <c r="M8" s="44">
        <v>4.0</v>
      </c>
      <c r="N8" s="44">
        <v>56.0</v>
      </c>
    </row>
    <row r="9" ht="12.75" customHeight="1">
      <c r="A9" s="45">
        <v>0.2569444444444444</v>
      </c>
      <c r="B9" s="44">
        <v>21.0</v>
      </c>
      <c r="C9" s="23"/>
      <c r="D9" s="42"/>
      <c r="E9" s="44">
        <v>18.0</v>
      </c>
      <c r="F9" s="44">
        <v>17.0</v>
      </c>
      <c r="G9" s="42"/>
      <c r="H9" s="42"/>
      <c r="I9" s="44">
        <v>1.37</v>
      </c>
      <c r="J9" s="44">
        <v>37.0</v>
      </c>
      <c r="M9" s="44">
        <v>4.5</v>
      </c>
      <c r="N9" s="44">
        <v>67.0</v>
      </c>
    </row>
    <row r="10" ht="12.75" customHeight="1">
      <c r="A10" s="45">
        <v>0.2534722222222222</v>
      </c>
      <c r="B10" s="44">
        <v>26.0</v>
      </c>
      <c r="C10" s="23"/>
      <c r="D10" s="42"/>
      <c r="E10" s="44">
        <v>17.9</v>
      </c>
      <c r="F10" s="44">
        <v>20.0</v>
      </c>
      <c r="G10" s="42"/>
      <c r="H10" s="42"/>
      <c r="I10" s="44">
        <v>1.41</v>
      </c>
      <c r="J10" s="44">
        <v>45.0</v>
      </c>
      <c r="M10" s="44">
        <v>5.0</v>
      </c>
      <c r="N10" s="44">
        <v>79.0</v>
      </c>
    </row>
    <row r="11" ht="12.75" customHeight="1">
      <c r="A11" s="45">
        <v>0.25</v>
      </c>
      <c r="B11" s="44">
        <v>30.0</v>
      </c>
      <c r="C11" s="23"/>
      <c r="D11" s="42"/>
      <c r="E11" s="44">
        <v>17.8</v>
      </c>
      <c r="F11" s="44">
        <v>24.0</v>
      </c>
      <c r="G11" s="42"/>
      <c r="H11" s="42"/>
      <c r="I11" s="44">
        <v>1.45</v>
      </c>
      <c r="J11" s="44">
        <v>53.0</v>
      </c>
      <c r="M11" s="44">
        <v>5.5</v>
      </c>
      <c r="N11" s="44">
        <v>89.0</v>
      </c>
    </row>
    <row r="12" ht="12.75" customHeight="1">
      <c r="A12" s="45">
        <v>0.24722222222222223</v>
      </c>
      <c r="B12" s="44">
        <v>34.0</v>
      </c>
      <c r="C12" s="23"/>
      <c r="D12" s="42"/>
      <c r="E12" s="44">
        <v>17.7</v>
      </c>
      <c r="F12" s="44">
        <v>27.0</v>
      </c>
      <c r="G12" s="42"/>
      <c r="H12" s="42"/>
      <c r="I12" s="44">
        <v>1.49</v>
      </c>
      <c r="J12" s="44">
        <v>61.0</v>
      </c>
      <c r="M12" s="44">
        <v>6.0</v>
      </c>
      <c r="N12" s="44">
        <v>99.0</v>
      </c>
    </row>
    <row r="13" ht="12.75" customHeight="1">
      <c r="A13" s="45">
        <v>0.24444444444444444</v>
      </c>
      <c r="B13" s="44">
        <v>38.0</v>
      </c>
      <c r="C13" s="23"/>
      <c r="D13" s="42"/>
      <c r="E13" s="44">
        <v>17.6</v>
      </c>
      <c r="F13" s="44">
        <v>31.0</v>
      </c>
      <c r="G13" s="42"/>
      <c r="H13" s="42"/>
      <c r="I13" s="44">
        <v>1.53</v>
      </c>
      <c r="J13" s="44">
        <v>68.0</v>
      </c>
      <c r="M13" s="44">
        <v>6.5</v>
      </c>
      <c r="N13" s="44">
        <v>109.0</v>
      </c>
    </row>
    <row r="14" ht="12.75" customHeight="1">
      <c r="A14" s="45">
        <v>0.24166666666666667</v>
      </c>
      <c r="B14" s="44">
        <v>42.0</v>
      </c>
      <c r="C14" s="23"/>
      <c r="D14" s="42"/>
      <c r="E14" s="44">
        <v>17.5</v>
      </c>
      <c r="F14" s="44">
        <v>34.0</v>
      </c>
      <c r="G14" s="42"/>
      <c r="H14" s="42"/>
      <c r="I14" s="44">
        <v>1.57</v>
      </c>
      <c r="J14" s="44">
        <v>76.0</v>
      </c>
      <c r="M14" s="44">
        <v>7.0</v>
      </c>
      <c r="N14" s="44">
        <v>118.0</v>
      </c>
    </row>
    <row r="15" ht="12.75" customHeight="1">
      <c r="A15" s="45">
        <v>0.2388888888888889</v>
      </c>
      <c r="B15" s="44">
        <v>46.0</v>
      </c>
      <c r="C15" s="23"/>
      <c r="D15" s="42"/>
      <c r="E15" s="44">
        <v>17.4</v>
      </c>
      <c r="F15" s="44">
        <v>38.0</v>
      </c>
      <c r="G15" s="42"/>
      <c r="H15" s="42"/>
      <c r="I15" s="44">
        <v>1.61</v>
      </c>
      <c r="J15" s="44">
        <v>84.0</v>
      </c>
      <c r="M15" s="44">
        <v>7.5</v>
      </c>
      <c r="N15" s="44">
        <v>127.0</v>
      </c>
    </row>
    <row r="16" ht="12.75" customHeight="1">
      <c r="A16" s="45">
        <v>0.2361111111111111</v>
      </c>
      <c r="B16" s="44">
        <v>50.0</v>
      </c>
      <c r="C16" s="23"/>
      <c r="D16" s="42"/>
      <c r="E16" s="44">
        <v>17.3</v>
      </c>
      <c r="F16" s="44">
        <v>42.0</v>
      </c>
      <c r="G16" s="42"/>
      <c r="H16" s="42"/>
      <c r="I16" s="44">
        <v>1.65</v>
      </c>
      <c r="J16" s="44">
        <v>91.0</v>
      </c>
      <c r="M16" s="44">
        <v>8.0</v>
      </c>
      <c r="N16" s="44">
        <v>136.0</v>
      </c>
    </row>
    <row r="17" ht="12.75" customHeight="1">
      <c r="A17" s="45">
        <v>0.23333333333333334</v>
      </c>
      <c r="B17" s="44">
        <v>55.0</v>
      </c>
      <c r="C17" s="23"/>
      <c r="D17" s="42"/>
      <c r="E17" s="44">
        <v>17.2</v>
      </c>
      <c r="F17" s="44">
        <v>45.0</v>
      </c>
      <c r="G17" s="42"/>
      <c r="H17" s="42"/>
      <c r="I17" s="44">
        <v>1.69</v>
      </c>
      <c r="J17" s="44">
        <v>99.0</v>
      </c>
      <c r="M17" s="44">
        <v>8.5</v>
      </c>
      <c r="N17" s="44">
        <v>144.0</v>
      </c>
    </row>
    <row r="18" ht="12.75" customHeight="1">
      <c r="A18" s="45">
        <v>0.23055555555555557</v>
      </c>
      <c r="B18" s="44">
        <v>59.0</v>
      </c>
      <c r="C18" s="23"/>
      <c r="D18" s="42"/>
      <c r="E18" s="44">
        <v>17.1</v>
      </c>
      <c r="F18" s="44">
        <v>49.0</v>
      </c>
      <c r="G18" s="42"/>
      <c r="H18" s="42"/>
      <c r="I18" s="44">
        <v>1.73</v>
      </c>
      <c r="J18" s="44">
        <v>106.0</v>
      </c>
      <c r="M18" s="44">
        <v>9.0</v>
      </c>
      <c r="N18" s="44">
        <v>152.0</v>
      </c>
    </row>
    <row r="19" ht="12.75" customHeight="1">
      <c r="A19" s="45">
        <v>0.22777777777777777</v>
      </c>
      <c r="B19" s="44">
        <v>64.0</v>
      </c>
      <c r="C19" s="23"/>
      <c r="D19" s="42"/>
      <c r="E19" s="44">
        <v>17.0</v>
      </c>
      <c r="F19" s="44">
        <v>53.0</v>
      </c>
      <c r="G19" s="42"/>
      <c r="H19" s="42"/>
      <c r="I19" s="44">
        <v>1.77</v>
      </c>
      <c r="J19" s="44">
        <v>113.0</v>
      </c>
      <c r="M19" s="44">
        <v>9.5</v>
      </c>
      <c r="N19" s="44">
        <v>160.0</v>
      </c>
    </row>
    <row r="20" ht="12.75" customHeight="1">
      <c r="A20" s="45">
        <v>0.225</v>
      </c>
      <c r="B20" s="44">
        <v>68.0</v>
      </c>
      <c r="C20" s="23"/>
      <c r="D20" s="42"/>
      <c r="E20" s="44">
        <v>16.9</v>
      </c>
      <c r="F20" s="44">
        <v>57.0</v>
      </c>
      <c r="G20" s="42"/>
      <c r="H20" s="42"/>
      <c r="I20" s="44">
        <v>1.81</v>
      </c>
      <c r="J20" s="44">
        <v>121.0</v>
      </c>
      <c r="M20" s="44">
        <v>10.0</v>
      </c>
      <c r="N20" s="44">
        <v>168.0</v>
      </c>
    </row>
    <row r="21" ht="12.75" customHeight="1">
      <c r="A21" s="45">
        <v>0.2222222222222222</v>
      </c>
      <c r="B21" s="44">
        <v>73.0</v>
      </c>
      <c r="C21" s="23"/>
      <c r="D21" s="42"/>
      <c r="E21" s="44">
        <v>16.8</v>
      </c>
      <c r="F21" s="44">
        <v>61.0</v>
      </c>
      <c r="G21" s="42"/>
      <c r="H21" s="42"/>
      <c r="I21" s="44">
        <v>1.85</v>
      </c>
      <c r="J21" s="44">
        <v>128.0</v>
      </c>
      <c r="M21" s="44">
        <v>10.5</v>
      </c>
      <c r="N21" s="44">
        <v>175.0</v>
      </c>
    </row>
    <row r="22" ht="12.75" customHeight="1">
      <c r="A22" s="45">
        <v>0.21944444444444444</v>
      </c>
      <c r="B22" s="44">
        <v>78.0</v>
      </c>
      <c r="C22" s="23"/>
      <c r="D22" s="42"/>
      <c r="E22" s="44">
        <v>16.7</v>
      </c>
      <c r="F22" s="44">
        <v>65.0</v>
      </c>
      <c r="G22" s="42"/>
      <c r="H22" s="42"/>
      <c r="I22" s="44">
        <v>1.89</v>
      </c>
      <c r="J22" s="44">
        <v>135.0</v>
      </c>
      <c r="M22" s="44">
        <v>11.0</v>
      </c>
      <c r="N22" s="44">
        <v>183.0</v>
      </c>
    </row>
    <row r="23" ht="12.75" customHeight="1">
      <c r="A23" s="45">
        <v>0.21666666666666667</v>
      </c>
      <c r="B23" s="44">
        <v>83.0</v>
      </c>
      <c r="C23" s="23"/>
      <c r="D23" s="42"/>
      <c r="E23" s="44">
        <v>16.6</v>
      </c>
      <c r="F23" s="44">
        <v>69.0</v>
      </c>
      <c r="G23" s="42"/>
      <c r="H23" s="42"/>
      <c r="I23" s="44">
        <v>1.93</v>
      </c>
      <c r="J23" s="44">
        <v>142.0</v>
      </c>
      <c r="M23" s="44">
        <v>11.5</v>
      </c>
      <c r="N23" s="44">
        <v>190.0</v>
      </c>
    </row>
    <row r="24" ht="12.75" customHeight="1">
      <c r="A24" s="45">
        <v>0.21388888888888888</v>
      </c>
      <c r="B24" s="44">
        <v>88.0</v>
      </c>
      <c r="C24" s="23"/>
      <c r="D24" s="42"/>
      <c r="E24" s="44">
        <v>16.5</v>
      </c>
      <c r="F24" s="44">
        <v>73.0</v>
      </c>
      <c r="G24" s="42"/>
      <c r="H24" s="42"/>
      <c r="I24" s="44">
        <v>1.97</v>
      </c>
      <c r="J24" s="44">
        <v>149.0</v>
      </c>
      <c r="M24" s="44">
        <v>12.0</v>
      </c>
      <c r="N24" s="44">
        <v>197.0</v>
      </c>
    </row>
    <row r="25" ht="12.75" customHeight="1">
      <c r="A25" s="45">
        <v>0.2111111111111111</v>
      </c>
      <c r="B25" s="44">
        <v>94.0</v>
      </c>
      <c r="C25" s="23"/>
      <c r="D25" s="42"/>
      <c r="E25" s="44">
        <v>16.4</v>
      </c>
      <c r="F25" s="44">
        <v>77.0</v>
      </c>
      <c r="G25" s="42"/>
      <c r="H25" s="42"/>
      <c r="I25" s="44">
        <v>2.01</v>
      </c>
      <c r="J25" s="44">
        <v>155.0</v>
      </c>
      <c r="M25" s="44">
        <v>12.5</v>
      </c>
      <c r="N25" s="44">
        <v>204.0</v>
      </c>
    </row>
    <row r="26" ht="12.75" customHeight="1">
      <c r="A26" s="45">
        <v>0.20833333333333334</v>
      </c>
      <c r="B26" s="44">
        <v>99.0</v>
      </c>
      <c r="C26" s="23"/>
      <c r="D26" s="42"/>
      <c r="E26" s="44">
        <v>16.3</v>
      </c>
      <c r="F26" s="44">
        <v>81.0</v>
      </c>
      <c r="G26" s="42"/>
      <c r="H26" s="42"/>
      <c r="I26" s="44">
        <v>2.05</v>
      </c>
      <c r="J26" s="44">
        <v>162.0</v>
      </c>
      <c r="M26" s="44">
        <v>13.0</v>
      </c>
      <c r="N26" s="44">
        <v>210.0</v>
      </c>
    </row>
    <row r="27" ht="12.75" customHeight="1">
      <c r="A27" s="45">
        <v>0.20625</v>
      </c>
      <c r="B27" s="44">
        <v>103.0</v>
      </c>
      <c r="C27" s="23"/>
      <c r="D27" s="42"/>
      <c r="E27" s="44">
        <v>16.2</v>
      </c>
      <c r="F27" s="44">
        <v>85.0</v>
      </c>
      <c r="G27" s="42"/>
      <c r="H27" s="42"/>
      <c r="I27" s="44">
        <v>2.09</v>
      </c>
      <c r="J27" s="44">
        <v>169.0</v>
      </c>
      <c r="M27" s="44">
        <v>13.5</v>
      </c>
      <c r="N27" s="44">
        <v>217.0</v>
      </c>
    </row>
    <row r="28" ht="12.75" customHeight="1">
      <c r="A28" s="45">
        <v>0.20416666666666666</v>
      </c>
      <c r="B28" s="44">
        <v>107.0</v>
      </c>
      <c r="C28" s="23"/>
      <c r="D28" s="42"/>
      <c r="E28" s="44">
        <v>16.1</v>
      </c>
      <c r="F28" s="44">
        <v>89.0</v>
      </c>
      <c r="G28" s="42"/>
      <c r="H28" s="42"/>
      <c r="I28" s="44">
        <v>2.13</v>
      </c>
      <c r="J28" s="44">
        <v>175.0</v>
      </c>
      <c r="M28" s="44">
        <v>14.0</v>
      </c>
      <c r="N28" s="44">
        <v>223.0</v>
      </c>
    </row>
    <row r="29" ht="12.75" customHeight="1">
      <c r="A29" s="45">
        <v>0.20208333333333334</v>
      </c>
      <c r="B29" s="44">
        <v>112.0</v>
      </c>
      <c r="C29" s="23"/>
      <c r="D29" s="42"/>
      <c r="E29" s="44">
        <v>16.0</v>
      </c>
      <c r="F29" s="44">
        <v>93.0</v>
      </c>
      <c r="G29" s="42"/>
      <c r="H29" s="42"/>
      <c r="I29" s="44">
        <v>2.17</v>
      </c>
      <c r="J29" s="44">
        <v>182.0</v>
      </c>
      <c r="M29" s="44">
        <v>14.5</v>
      </c>
      <c r="N29" s="44">
        <v>230.0</v>
      </c>
    </row>
    <row r="30" ht="12.75" customHeight="1">
      <c r="A30" s="45">
        <v>0.2</v>
      </c>
      <c r="B30" s="44">
        <v>116.0</v>
      </c>
      <c r="C30" s="23"/>
      <c r="D30" s="42"/>
      <c r="E30" s="44">
        <v>15.9</v>
      </c>
      <c r="F30" s="44">
        <v>98.0</v>
      </c>
      <c r="G30" s="42"/>
      <c r="H30" s="42"/>
      <c r="I30" s="44">
        <v>2.21</v>
      </c>
      <c r="J30" s="44">
        <v>188.0</v>
      </c>
      <c r="M30" s="44">
        <v>15.0</v>
      </c>
      <c r="N30" s="44">
        <v>236.0</v>
      </c>
    </row>
    <row r="31" ht="12.75" customHeight="1">
      <c r="A31" s="45">
        <v>0.19791666666666666</v>
      </c>
      <c r="B31" s="44">
        <v>121.0</v>
      </c>
      <c r="C31" s="23"/>
      <c r="D31" s="42"/>
      <c r="E31" s="44">
        <v>15.8</v>
      </c>
      <c r="F31" s="44">
        <v>102.0</v>
      </c>
      <c r="G31" s="42"/>
      <c r="H31" s="42"/>
      <c r="I31" s="44">
        <v>2.25</v>
      </c>
      <c r="J31" s="44">
        <v>195.0</v>
      </c>
      <c r="M31" s="44">
        <v>15.5</v>
      </c>
      <c r="N31" s="44">
        <v>242.0</v>
      </c>
    </row>
    <row r="32" ht="12.75" customHeight="1">
      <c r="A32" s="45">
        <v>0.19583333333333333</v>
      </c>
      <c r="B32" s="44">
        <v>125.0</v>
      </c>
      <c r="C32" s="23"/>
      <c r="D32" s="42"/>
      <c r="E32" s="44">
        <v>15.7</v>
      </c>
      <c r="F32" s="44">
        <v>107.0</v>
      </c>
      <c r="G32" s="42"/>
      <c r="H32" s="42"/>
      <c r="I32" s="44">
        <v>2.29</v>
      </c>
      <c r="J32" s="44">
        <v>201.0</v>
      </c>
      <c r="M32" s="44">
        <v>16.0</v>
      </c>
      <c r="N32" s="44">
        <v>248.0</v>
      </c>
    </row>
    <row r="33" ht="12.75" customHeight="1">
      <c r="A33" s="45">
        <v>0.19375</v>
      </c>
      <c r="B33" s="44">
        <v>130.0</v>
      </c>
      <c r="C33" s="23"/>
      <c r="D33" s="42"/>
      <c r="E33" s="44">
        <v>15.6</v>
      </c>
      <c r="F33" s="44">
        <v>111.0</v>
      </c>
      <c r="G33" s="42"/>
      <c r="H33" s="42"/>
      <c r="I33" s="44">
        <v>2.33</v>
      </c>
      <c r="J33" s="44">
        <v>208.0</v>
      </c>
      <c r="M33" s="44">
        <v>16.5</v>
      </c>
      <c r="N33" s="44">
        <v>254.0</v>
      </c>
    </row>
    <row r="34" ht="12.75" customHeight="1">
      <c r="A34" s="45">
        <v>0.19166666666666668</v>
      </c>
      <c r="B34" s="44">
        <v>135.0</v>
      </c>
      <c r="C34" s="23"/>
      <c r="D34" s="42"/>
      <c r="E34" s="44">
        <v>15.5</v>
      </c>
      <c r="F34" s="44">
        <v>116.0</v>
      </c>
      <c r="G34" s="42"/>
      <c r="H34" s="42"/>
      <c r="I34" s="44">
        <v>2.37</v>
      </c>
      <c r="J34" s="44">
        <v>214.0</v>
      </c>
      <c r="M34" s="44">
        <v>17.0</v>
      </c>
      <c r="N34" s="44">
        <v>260.0</v>
      </c>
    </row>
    <row r="35" ht="12.75" customHeight="1">
      <c r="A35" s="45">
        <v>0.18958333333333333</v>
      </c>
      <c r="B35" s="44">
        <v>140.0</v>
      </c>
      <c r="C35" s="23"/>
      <c r="D35" s="42"/>
      <c r="E35" s="44">
        <v>15.4</v>
      </c>
      <c r="F35" s="44">
        <v>120.0</v>
      </c>
      <c r="G35" s="42"/>
      <c r="H35" s="42"/>
      <c r="I35" s="44">
        <v>2.41</v>
      </c>
      <c r="J35" s="44">
        <v>220.0</v>
      </c>
      <c r="M35" s="44">
        <v>17.5</v>
      </c>
      <c r="N35" s="44">
        <v>266.0</v>
      </c>
    </row>
    <row r="36" ht="12.75" customHeight="1">
      <c r="A36" s="45">
        <v>0.1875</v>
      </c>
      <c r="B36" s="44">
        <v>145.0</v>
      </c>
      <c r="C36" s="23"/>
      <c r="D36" s="42"/>
      <c r="E36" s="44">
        <v>15.3</v>
      </c>
      <c r="F36" s="44">
        <v>125.0</v>
      </c>
      <c r="G36" s="42"/>
      <c r="H36" s="42"/>
      <c r="I36" s="44">
        <v>2.45</v>
      </c>
      <c r="J36" s="44">
        <v>226.0</v>
      </c>
      <c r="M36" s="44">
        <v>18.0</v>
      </c>
      <c r="N36" s="44">
        <v>272.0</v>
      </c>
    </row>
    <row r="37" ht="12.75" customHeight="1">
      <c r="A37" s="45">
        <v>0.18541666666666667</v>
      </c>
      <c r="B37" s="44">
        <v>150.0</v>
      </c>
      <c r="C37" s="23"/>
      <c r="D37" s="42"/>
      <c r="E37" s="44">
        <v>15.2</v>
      </c>
      <c r="F37" s="44">
        <v>130.0</v>
      </c>
      <c r="G37" s="42"/>
      <c r="H37" s="42"/>
      <c r="I37" s="44">
        <v>2.49</v>
      </c>
      <c r="J37" s="44">
        <v>232.0</v>
      </c>
      <c r="M37" s="44">
        <v>18.5</v>
      </c>
      <c r="N37" s="44">
        <v>277.0</v>
      </c>
    </row>
    <row r="38" ht="12.75" customHeight="1">
      <c r="A38" s="45">
        <v>0.18333333333333332</v>
      </c>
      <c r="B38" s="44">
        <v>155.0</v>
      </c>
      <c r="C38" s="23"/>
      <c r="D38" s="42"/>
      <c r="E38" s="44">
        <v>15.1</v>
      </c>
      <c r="F38" s="44">
        <v>135.0</v>
      </c>
      <c r="G38" s="42"/>
      <c r="H38" s="42"/>
      <c r="I38" s="44">
        <v>2.53</v>
      </c>
      <c r="J38" s="44">
        <v>238.0</v>
      </c>
      <c r="M38" s="44">
        <v>19.0</v>
      </c>
      <c r="N38" s="44">
        <v>283.0</v>
      </c>
    </row>
    <row r="39" ht="12.75" customHeight="1">
      <c r="A39" s="45">
        <v>0.18125</v>
      </c>
      <c r="B39" s="44">
        <v>161.0</v>
      </c>
      <c r="C39" s="23"/>
      <c r="D39" s="42"/>
      <c r="E39" s="44">
        <v>15.0</v>
      </c>
      <c r="F39" s="44">
        <v>139.0</v>
      </c>
      <c r="G39" s="42"/>
      <c r="H39" s="42"/>
      <c r="I39" s="44">
        <v>2.57</v>
      </c>
      <c r="J39" s="44">
        <v>245.0</v>
      </c>
      <c r="M39" s="44">
        <v>19.5</v>
      </c>
      <c r="N39" s="44">
        <v>288.0</v>
      </c>
    </row>
    <row r="40" ht="12.75" customHeight="1">
      <c r="A40" s="45">
        <v>0.17916666666666667</v>
      </c>
      <c r="B40" s="44">
        <v>166.0</v>
      </c>
      <c r="C40" s="23"/>
      <c r="D40" s="42"/>
      <c r="E40" s="44">
        <v>14.9</v>
      </c>
      <c r="F40" s="44">
        <v>144.0</v>
      </c>
      <c r="G40" s="42"/>
      <c r="H40" s="42"/>
      <c r="I40" s="44">
        <v>2.61</v>
      </c>
      <c r="J40" s="44">
        <v>250.0</v>
      </c>
      <c r="M40" s="44">
        <v>20.0</v>
      </c>
      <c r="N40" s="44">
        <v>294.0</v>
      </c>
    </row>
    <row r="41" ht="12.75" customHeight="1">
      <c r="A41" s="45">
        <v>0.17708333333333334</v>
      </c>
      <c r="B41" s="44">
        <v>172.0</v>
      </c>
      <c r="C41" s="23"/>
      <c r="D41" s="42"/>
      <c r="E41" s="44">
        <v>14.8</v>
      </c>
      <c r="F41" s="44">
        <v>149.0</v>
      </c>
      <c r="G41" s="42"/>
      <c r="H41" s="42"/>
      <c r="I41" s="44">
        <v>2.65</v>
      </c>
      <c r="J41" s="44">
        <v>256.0</v>
      </c>
      <c r="M41" s="44">
        <v>20.5</v>
      </c>
      <c r="N41" s="44">
        <v>299.0</v>
      </c>
    </row>
    <row r="42" ht="12.75" customHeight="1">
      <c r="A42" s="45">
        <v>0.175</v>
      </c>
      <c r="B42" s="44">
        <v>177.0</v>
      </c>
      <c r="C42" s="23"/>
      <c r="D42" s="42"/>
      <c r="E42" s="44">
        <v>14.7</v>
      </c>
      <c r="F42" s="44">
        <v>154.0</v>
      </c>
      <c r="G42" s="42"/>
      <c r="H42" s="42"/>
      <c r="I42" s="44">
        <v>2.69</v>
      </c>
      <c r="J42" s="44">
        <v>262.0</v>
      </c>
      <c r="M42" s="44">
        <v>21.0</v>
      </c>
      <c r="N42" s="44">
        <v>304.0</v>
      </c>
    </row>
    <row r="43" ht="12.75" customHeight="1">
      <c r="A43" s="45">
        <v>0.17291666666666666</v>
      </c>
      <c r="B43" s="44">
        <v>183.0</v>
      </c>
      <c r="C43" s="23"/>
      <c r="D43" s="42"/>
      <c r="E43" s="44">
        <v>14.6</v>
      </c>
      <c r="F43" s="44">
        <v>159.0</v>
      </c>
      <c r="G43" s="42"/>
      <c r="H43" s="42"/>
      <c r="I43" s="44">
        <v>2.73</v>
      </c>
      <c r="J43" s="44">
        <v>268.0</v>
      </c>
      <c r="M43" s="44">
        <v>21.5</v>
      </c>
      <c r="N43" s="44">
        <v>310.0</v>
      </c>
    </row>
    <row r="44" ht="12.75" customHeight="1">
      <c r="A44" s="45">
        <v>0.17083333333333334</v>
      </c>
      <c r="B44" s="44">
        <v>189.0</v>
      </c>
      <c r="C44" s="23"/>
      <c r="D44" s="42"/>
      <c r="E44" s="44">
        <v>14.5</v>
      </c>
      <c r="F44" s="44">
        <v>165.0</v>
      </c>
      <c r="G44" s="42"/>
      <c r="H44" s="42"/>
      <c r="I44" s="44">
        <v>2.77</v>
      </c>
      <c r="J44" s="44">
        <v>274.0</v>
      </c>
      <c r="M44" s="44">
        <v>22.0</v>
      </c>
      <c r="N44" s="44">
        <v>315.0</v>
      </c>
    </row>
    <row r="45" ht="12.75" customHeight="1">
      <c r="A45" s="45">
        <v>0.16875</v>
      </c>
      <c r="B45" s="44">
        <v>196.0</v>
      </c>
      <c r="C45" s="23"/>
      <c r="D45" s="42"/>
      <c r="E45" s="44">
        <v>14.4</v>
      </c>
      <c r="F45" s="44">
        <v>170.0</v>
      </c>
      <c r="G45" s="42"/>
      <c r="H45" s="42"/>
      <c r="I45" s="44">
        <v>2.81</v>
      </c>
      <c r="J45" s="44">
        <v>280.0</v>
      </c>
      <c r="M45" s="44">
        <v>22.5</v>
      </c>
      <c r="N45" s="44">
        <v>320.0</v>
      </c>
    </row>
    <row r="46" ht="12.75" customHeight="1">
      <c r="A46" s="45">
        <v>0.16666666666666666</v>
      </c>
      <c r="B46" s="44">
        <v>202.0</v>
      </c>
      <c r="C46" s="23"/>
      <c r="D46" s="42"/>
      <c r="E46" s="44">
        <v>14.3</v>
      </c>
      <c r="F46" s="44">
        <v>175.0</v>
      </c>
      <c r="G46" s="42"/>
      <c r="H46" s="42"/>
      <c r="I46" s="44">
        <v>2.85</v>
      </c>
      <c r="J46" s="44">
        <v>285.0</v>
      </c>
      <c r="M46" s="44">
        <v>23.0</v>
      </c>
      <c r="N46" s="44">
        <v>325.0</v>
      </c>
    </row>
    <row r="47" ht="12.75" customHeight="1">
      <c r="A47" s="45">
        <v>0.16527777777777777</v>
      </c>
      <c r="B47" s="44">
        <v>206.0</v>
      </c>
      <c r="C47" s="23"/>
      <c r="D47" s="42"/>
      <c r="E47" s="44">
        <v>14.2</v>
      </c>
      <c r="F47" s="44">
        <v>181.0</v>
      </c>
      <c r="G47" s="42"/>
      <c r="H47" s="42"/>
      <c r="I47" s="44">
        <v>2.89</v>
      </c>
      <c r="J47" s="44">
        <v>291.0</v>
      </c>
      <c r="M47" s="44">
        <v>23.5</v>
      </c>
      <c r="N47" s="44">
        <v>330.0</v>
      </c>
    </row>
    <row r="48" ht="12.75" customHeight="1">
      <c r="A48" s="45">
        <v>0.1638888888888889</v>
      </c>
      <c r="B48" s="44">
        <v>211.0</v>
      </c>
      <c r="C48" s="23"/>
      <c r="D48" s="42"/>
      <c r="E48" s="44">
        <v>14.1</v>
      </c>
      <c r="F48" s="44">
        <v>186.0</v>
      </c>
      <c r="G48" s="42"/>
      <c r="H48" s="42"/>
      <c r="I48" s="44">
        <v>2.93</v>
      </c>
      <c r="J48" s="44">
        <v>297.0</v>
      </c>
      <c r="M48" s="44">
        <v>24.0</v>
      </c>
      <c r="N48" s="44">
        <v>335.0</v>
      </c>
    </row>
    <row r="49" ht="12.75" customHeight="1">
      <c r="A49" s="45">
        <v>0.1625</v>
      </c>
      <c r="B49" s="44">
        <v>215.0</v>
      </c>
      <c r="C49" s="23"/>
      <c r="D49" s="42"/>
      <c r="E49" s="44">
        <v>14.0</v>
      </c>
      <c r="F49" s="44">
        <v>192.0</v>
      </c>
      <c r="G49" s="42"/>
      <c r="H49" s="42"/>
      <c r="I49" s="44">
        <v>2.97</v>
      </c>
      <c r="J49" s="44">
        <v>302.0</v>
      </c>
      <c r="M49" s="44">
        <v>24.5</v>
      </c>
      <c r="N49" s="44">
        <v>340.0</v>
      </c>
    </row>
    <row r="50" ht="12.75" customHeight="1">
      <c r="A50" s="45">
        <v>0.16111111111111112</v>
      </c>
      <c r="B50" s="44">
        <v>220.0</v>
      </c>
      <c r="C50" s="23"/>
      <c r="D50" s="42"/>
      <c r="E50" s="44">
        <v>13.9</v>
      </c>
      <c r="F50" s="44">
        <v>197.0</v>
      </c>
      <c r="G50" s="42"/>
      <c r="H50" s="42"/>
      <c r="I50" s="44">
        <v>3.01</v>
      </c>
      <c r="J50" s="44">
        <v>308.0</v>
      </c>
      <c r="M50" s="44">
        <v>25.0</v>
      </c>
      <c r="N50" s="44">
        <v>345.0</v>
      </c>
    </row>
    <row r="51" ht="12.75" customHeight="1">
      <c r="A51" s="45">
        <v>0.1597222222222222</v>
      </c>
      <c r="B51" s="44">
        <v>224.0</v>
      </c>
      <c r="C51" s="23"/>
      <c r="D51" s="42"/>
      <c r="E51" s="44">
        <v>13.8</v>
      </c>
      <c r="F51" s="44">
        <v>203.0</v>
      </c>
      <c r="G51" s="42"/>
      <c r="H51" s="42"/>
      <c r="I51" s="44">
        <v>3.05</v>
      </c>
      <c r="J51" s="44">
        <v>313.0</v>
      </c>
      <c r="M51" s="44">
        <v>25.5</v>
      </c>
      <c r="N51" s="44">
        <v>349.0</v>
      </c>
    </row>
    <row r="52" ht="12.75" customHeight="1">
      <c r="A52" s="45">
        <v>0.15833333333333333</v>
      </c>
      <c r="B52" s="44">
        <v>229.0</v>
      </c>
      <c r="C52" s="23"/>
      <c r="D52" s="42"/>
      <c r="E52" s="44">
        <v>13.7</v>
      </c>
      <c r="F52" s="44">
        <v>209.0</v>
      </c>
      <c r="G52" s="42"/>
      <c r="H52" s="42"/>
      <c r="I52" s="44">
        <v>3.09</v>
      </c>
      <c r="J52" s="44">
        <v>319.0</v>
      </c>
      <c r="M52" s="44">
        <v>26.0</v>
      </c>
      <c r="N52" s="44">
        <v>354.0</v>
      </c>
    </row>
    <row r="53" ht="12.75" customHeight="1">
      <c r="A53" s="45">
        <v>0.15694444444444444</v>
      </c>
      <c r="B53" s="44">
        <v>234.0</v>
      </c>
      <c r="C53" s="23"/>
      <c r="D53" s="42"/>
      <c r="E53" s="44">
        <v>13.6</v>
      </c>
      <c r="F53" s="44">
        <v>215.0</v>
      </c>
      <c r="G53" s="42"/>
      <c r="H53" s="42"/>
      <c r="I53" s="44">
        <v>3.13</v>
      </c>
      <c r="J53" s="44">
        <v>324.0</v>
      </c>
      <c r="M53" s="44">
        <v>26.5</v>
      </c>
      <c r="N53" s="44">
        <v>359.0</v>
      </c>
    </row>
    <row r="54" ht="12.75" customHeight="1">
      <c r="A54" s="45">
        <v>0.15555555555555556</v>
      </c>
      <c r="B54" s="44">
        <v>239.0</v>
      </c>
      <c r="C54" s="23"/>
      <c r="D54" s="42"/>
      <c r="E54" s="44">
        <v>13.5</v>
      </c>
      <c r="F54" s="44">
        <v>221.0</v>
      </c>
      <c r="G54" s="42"/>
      <c r="H54" s="42"/>
      <c r="I54" s="44">
        <v>3.17</v>
      </c>
      <c r="J54" s="44">
        <v>330.0</v>
      </c>
      <c r="M54" s="44">
        <v>27.0</v>
      </c>
      <c r="N54" s="44">
        <v>363.0</v>
      </c>
    </row>
    <row r="55" ht="12.75" customHeight="1">
      <c r="A55" s="45">
        <v>0.15416666666666667</v>
      </c>
      <c r="B55" s="44">
        <v>244.0</v>
      </c>
      <c r="C55" s="23"/>
      <c r="D55" s="42"/>
      <c r="E55" s="44">
        <v>13.4</v>
      </c>
      <c r="F55" s="44">
        <v>227.0</v>
      </c>
      <c r="G55" s="42"/>
      <c r="H55" s="42"/>
      <c r="I55" s="44">
        <v>3.21</v>
      </c>
      <c r="J55" s="44">
        <v>335.0</v>
      </c>
      <c r="M55" s="44">
        <v>27.5</v>
      </c>
      <c r="N55" s="44">
        <v>368.0</v>
      </c>
    </row>
    <row r="56" ht="12.75" customHeight="1">
      <c r="A56" s="45">
        <v>0.1527777777777778</v>
      </c>
      <c r="B56" s="44">
        <v>249.0</v>
      </c>
      <c r="C56" s="23"/>
      <c r="D56" s="42"/>
      <c r="E56" s="44">
        <v>13.3</v>
      </c>
      <c r="F56" s="44">
        <v>233.0</v>
      </c>
      <c r="G56" s="42"/>
      <c r="H56" s="42"/>
      <c r="I56" s="44">
        <v>3.25</v>
      </c>
      <c r="J56" s="44">
        <v>340.0</v>
      </c>
      <c r="M56" s="44">
        <v>28.0</v>
      </c>
      <c r="N56" s="44">
        <v>373.0</v>
      </c>
    </row>
    <row r="57" ht="12.75" customHeight="1">
      <c r="A57" s="45">
        <v>0.15138888888888888</v>
      </c>
      <c r="B57" s="44">
        <v>254.0</v>
      </c>
      <c r="C57" s="23"/>
      <c r="D57" s="42"/>
      <c r="E57" s="44">
        <v>13.2</v>
      </c>
      <c r="F57" s="44">
        <v>239.0</v>
      </c>
      <c r="G57" s="42"/>
      <c r="H57" s="42"/>
      <c r="I57" s="44">
        <v>3.29</v>
      </c>
      <c r="J57" s="44">
        <v>346.0</v>
      </c>
      <c r="M57" s="44">
        <v>28.5</v>
      </c>
      <c r="N57" s="44">
        <v>377.0</v>
      </c>
    </row>
    <row r="58" ht="12.75" customHeight="1">
      <c r="A58" s="45">
        <v>0.15</v>
      </c>
      <c r="B58" s="44">
        <v>259.0</v>
      </c>
      <c r="C58" s="23"/>
      <c r="D58" s="42"/>
      <c r="E58" s="44">
        <v>13.1</v>
      </c>
      <c r="F58" s="44">
        <v>246.0</v>
      </c>
      <c r="G58" s="42"/>
      <c r="H58" s="42"/>
      <c r="I58" s="44">
        <v>3.33</v>
      </c>
      <c r="J58" s="44">
        <v>351.0</v>
      </c>
      <c r="M58" s="44">
        <v>29.0</v>
      </c>
      <c r="N58" s="44">
        <v>382.0</v>
      </c>
    </row>
    <row r="59" ht="12.75" customHeight="1">
      <c r="A59" s="45">
        <v>0.1486111111111111</v>
      </c>
      <c r="B59" s="44">
        <v>265.0</v>
      </c>
      <c r="C59" s="23"/>
      <c r="D59" s="42"/>
      <c r="E59" s="44">
        <v>13.0</v>
      </c>
      <c r="F59" s="44">
        <v>252.0</v>
      </c>
      <c r="G59" s="42"/>
      <c r="H59" s="42"/>
      <c r="I59" s="44">
        <v>3.37</v>
      </c>
      <c r="J59" s="44">
        <v>356.0</v>
      </c>
      <c r="M59" s="44">
        <v>29.5</v>
      </c>
      <c r="N59" s="44">
        <v>386.0</v>
      </c>
    </row>
    <row r="60" ht="12.75" customHeight="1">
      <c r="A60" s="45">
        <v>0.14722222222222223</v>
      </c>
      <c r="B60" s="44">
        <v>270.0</v>
      </c>
      <c r="C60" s="23"/>
      <c r="D60" s="42"/>
      <c r="E60" s="44">
        <v>12.9</v>
      </c>
      <c r="F60" s="44">
        <v>259.0</v>
      </c>
      <c r="G60" s="42"/>
      <c r="H60" s="42"/>
      <c r="I60" s="44">
        <v>3.41</v>
      </c>
      <c r="J60" s="44">
        <v>362.0</v>
      </c>
      <c r="M60" s="44">
        <v>30.0</v>
      </c>
      <c r="N60" s="44">
        <v>390.0</v>
      </c>
    </row>
    <row r="61" ht="12.75" customHeight="1">
      <c r="A61" s="45">
        <v>0.14583333333333334</v>
      </c>
      <c r="B61" s="44">
        <v>276.0</v>
      </c>
      <c r="C61" s="23"/>
      <c r="D61" s="42"/>
      <c r="E61" s="44">
        <v>12.8</v>
      </c>
      <c r="F61" s="44">
        <v>265.0</v>
      </c>
      <c r="G61" s="42"/>
      <c r="H61" s="42"/>
      <c r="I61" s="44">
        <v>3.45</v>
      </c>
      <c r="J61" s="44">
        <v>367.0</v>
      </c>
      <c r="M61" s="44">
        <v>30.5</v>
      </c>
      <c r="N61" s="44">
        <v>395.0</v>
      </c>
    </row>
    <row r="62" ht="12.75" customHeight="1">
      <c r="A62" s="45">
        <v>0.14444444444444443</v>
      </c>
      <c r="B62" s="44">
        <v>281.0</v>
      </c>
      <c r="C62" s="23"/>
      <c r="D62" s="42"/>
      <c r="E62" s="44">
        <v>12.7</v>
      </c>
      <c r="F62" s="44">
        <v>272.0</v>
      </c>
      <c r="G62" s="42"/>
      <c r="H62" s="42"/>
      <c r="I62" s="44">
        <v>3.49</v>
      </c>
      <c r="J62" s="44">
        <v>372.0</v>
      </c>
      <c r="M62" s="44">
        <v>31.0</v>
      </c>
      <c r="N62" s="44">
        <v>399.0</v>
      </c>
    </row>
    <row r="63" ht="12.75" customHeight="1">
      <c r="A63" s="45">
        <v>0.14305555555555555</v>
      </c>
      <c r="B63" s="44">
        <v>287.0</v>
      </c>
      <c r="C63" s="23"/>
      <c r="D63" s="42"/>
      <c r="E63" s="44">
        <v>12.6</v>
      </c>
      <c r="F63" s="44">
        <v>279.0</v>
      </c>
      <c r="G63" s="42"/>
      <c r="H63" s="42"/>
      <c r="I63" s="44">
        <v>3.53</v>
      </c>
      <c r="J63" s="44">
        <v>377.0</v>
      </c>
      <c r="M63" s="44">
        <v>31.5</v>
      </c>
      <c r="N63" s="44">
        <v>404.0</v>
      </c>
    </row>
    <row r="64" ht="12.75" customHeight="1">
      <c r="A64" s="45">
        <v>0.14166666666666666</v>
      </c>
      <c r="B64" s="44">
        <v>293.0</v>
      </c>
      <c r="C64" s="23"/>
      <c r="D64" s="42"/>
      <c r="E64" s="44">
        <v>12.5</v>
      </c>
      <c r="F64" s="44">
        <v>286.0</v>
      </c>
      <c r="G64" s="42"/>
      <c r="H64" s="42"/>
      <c r="I64" s="44">
        <v>3.57</v>
      </c>
      <c r="J64" s="44">
        <v>382.0</v>
      </c>
      <c r="M64" s="44">
        <v>32.0</v>
      </c>
      <c r="N64" s="44">
        <v>408.0</v>
      </c>
    </row>
    <row r="65" ht="12.75" customHeight="1">
      <c r="A65" s="45">
        <v>0.14027777777777778</v>
      </c>
      <c r="B65" s="44">
        <v>299.0</v>
      </c>
      <c r="C65" s="23"/>
      <c r="D65" s="42"/>
      <c r="E65" s="44">
        <v>12.4</v>
      </c>
      <c r="F65" s="44">
        <v>293.0</v>
      </c>
      <c r="G65" s="42"/>
      <c r="H65" s="42"/>
      <c r="I65" s="44">
        <v>3.61</v>
      </c>
      <c r="J65" s="44">
        <v>387.0</v>
      </c>
      <c r="M65" s="44">
        <v>32.5</v>
      </c>
      <c r="N65" s="44">
        <v>412.0</v>
      </c>
    </row>
    <row r="66" ht="12.75" customHeight="1">
      <c r="A66" s="45">
        <v>0.1388888888888889</v>
      </c>
      <c r="B66" s="44">
        <v>305.0</v>
      </c>
      <c r="C66" s="23"/>
      <c r="D66" s="42"/>
      <c r="E66" s="44">
        <v>12.3</v>
      </c>
      <c r="F66" s="44">
        <v>300.0</v>
      </c>
      <c r="G66" s="42"/>
      <c r="H66" s="42"/>
      <c r="I66" s="44">
        <v>3.65</v>
      </c>
      <c r="J66" s="44">
        <v>392.0</v>
      </c>
      <c r="M66" s="44">
        <v>33.0</v>
      </c>
      <c r="N66" s="44">
        <v>416.0</v>
      </c>
    </row>
    <row r="67" ht="12.75" customHeight="1">
      <c r="A67" s="45">
        <v>0.1375</v>
      </c>
      <c r="B67" s="44">
        <v>311.0</v>
      </c>
      <c r="C67" s="23"/>
      <c r="D67" s="42"/>
      <c r="E67" s="44">
        <v>12.2</v>
      </c>
      <c r="F67" s="44">
        <v>307.0</v>
      </c>
      <c r="G67" s="42"/>
      <c r="H67" s="42"/>
      <c r="I67" s="44">
        <v>3.69</v>
      </c>
      <c r="J67" s="44">
        <v>397.0</v>
      </c>
      <c r="M67" s="44">
        <v>33.5</v>
      </c>
      <c r="N67" s="44">
        <v>420.0</v>
      </c>
    </row>
    <row r="68" ht="12.75" customHeight="1">
      <c r="A68" s="45">
        <v>0.1361111111111111</v>
      </c>
      <c r="B68" s="44">
        <v>318.0</v>
      </c>
      <c r="C68" s="23"/>
      <c r="D68" s="42"/>
      <c r="E68" s="44">
        <v>12.1</v>
      </c>
      <c r="F68" s="44">
        <v>315.0</v>
      </c>
      <c r="G68" s="42"/>
      <c r="H68" s="42"/>
      <c r="I68" s="44">
        <v>3.73</v>
      </c>
      <c r="J68" s="44">
        <v>402.0</v>
      </c>
      <c r="M68" s="44">
        <v>34.0</v>
      </c>
      <c r="N68" s="44">
        <v>425.0</v>
      </c>
    </row>
    <row r="69" ht="12.75" customHeight="1">
      <c r="A69" s="45">
        <v>0.13472222222222222</v>
      </c>
      <c r="B69" s="44">
        <v>324.0</v>
      </c>
      <c r="C69" s="23"/>
      <c r="D69" s="42"/>
      <c r="E69" s="44">
        <v>12.0</v>
      </c>
      <c r="F69" s="44">
        <v>322.0</v>
      </c>
      <c r="G69" s="42"/>
      <c r="H69" s="42"/>
      <c r="I69" s="44">
        <v>3.77</v>
      </c>
      <c r="J69" s="44">
        <v>407.0</v>
      </c>
      <c r="M69" s="44">
        <v>34.5</v>
      </c>
      <c r="N69" s="44">
        <v>429.0</v>
      </c>
    </row>
    <row r="70" ht="12.75" customHeight="1">
      <c r="A70" s="45">
        <v>0.13333333333333333</v>
      </c>
      <c r="B70" s="44">
        <v>331.0</v>
      </c>
      <c r="C70" s="23"/>
      <c r="D70" s="42"/>
      <c r="E70" s="44">
        <v>11.9</v>
      </c>
      <c r="F70" s="44">
        <v>330.0</v>
      </c>
      <c r="G70" s="42"/>
      <c r="H70" s="42"/>
      <c r="I70" s="44">
        <v>3.81</v>
      </c>
      <c r="J70" s="44">
        <v>412.0</v>
      </c>
      <c r="M70" s="44">
        <v>35.0</v>
      </c>
      <c r="N70" s="44">
        <v>433.0</v>
      </c>
    </row>
    <row r="71" ht="12.75" customHeight="1">
      <c r="A71" s="45">
        <v>0.13194444444444445</v>
      </c>
      <c r="B71" s="44">
        <v>338.0</v>
      </c>
      <c r="C71" s="23"/>
      <c r="D71" s="42"/>
      <c r="E71" s="44">
        <v>11.8</v>
      </c>
      <c r="F71" s="44">
        <v>338.0</v>
      </c>
      <c r="G71" s="42"/>
      <c r="H71" s="42"/>
      <c r="I71" s="44">
        <v>3.85</v>
      </c>
      <c r="J71" s="44">
        <v>417.0</v>
      </c>
      <c r="M71" s="44">
        <v>35.5</v>
      </c>
      <c r="N71" s="44">
        <v>437.0</v>
      </c>
    </row>
    <row r="72" ht="12.75" customHeight="1">
      <c r="A72" s="45">
        <v>0.13055555555555556</v>
      </c>
      <c r="B72" s="44">
        <v>344.0</v>
      </c>
      <c r="C72" s="23"/>
      <c r="D72" s="42"/>
      <c r="E72" s="44">
        <v>11.7</v>
      </c>
      <c r="F72" s="44">
        <v>345.0</v>
      </c>
      <c r="G72" s="42"/>
      <c r="H72" s="42"/>
      <c r="I72" s="44">
        <v>3.89</v>
      </c>
      <c r="J72" s="44">
        <v>422.0</v>
      </c>
      <c r="M72" s="44">
        <v>36.0</v>
      </c>
      <c r="N72" s="44">
        <v>441.0</v>
      </c>
    </row>
    <row r="73" ht="12.75" customHeight="1">
      <c r="A73" s="45">
        <v>0.12916666666666668</v>
      </c>
      <c r="B73" s="44">
        <v>352.0</v>
      </c>
      <c r="C73" s="23"/>
      <c r="D73" s="42"/>
      <c r="E73" s="44">
        <v>11.6</v>
      </c>
      <c r="F73" s="44">
        <v>354.0</v>
      </c>
      <c r="G73" s="42"/>
      <c r="H73" s="42"/>
      <c r="I73" s="44">
        <v>3.93</v>
      </c>
      <c r="J73" s="44">
        <v>427.0</v>
      </c>
      <c r="M73" s="44">
        <v>36.5</v>
      </c>
      <c r="N73" s="44">
        <v>445.0</v>
      </c>
    </row>
    <row r="74" ht="12.75" customHeight="1">
      <c r="A74" s="45">
        <v>0.12777777777777777</v>
      </c>
      <c r="B74" s="44">
        <v>359.0</v>
      </c>
      <c r="C74" s="23"/>
      <c r="D74" s="42"/>
      <c r="E74" s="44">
        <v>11.5</v>
      </c>
      <c r="F74" s="44">
        <v>362.0</v>
      </c>
      <c r="G74" s="42"/>
      <c r="H74" s="42"/>
      <c r="I74" s="44">
        <v>3.97</v>
      </c>
      <c r="J74" s="44">
        <v>432.0</v>
      </c>
      <c r="M74" s="44">
        <v>37.0</v>
      </c>
      <c r="N74" s="44">
        <v>449.0</v>
      </c>
    </row>
    <row r="75" ht="12.75" customHeight="1">
      <c r="A75" s="45">
        <v>0.12638888888888888</v>
      </c>
      <c r="B75" s="44">
        <v>366.0</v>
      </c>
      <c r="C75" s="23"/>
      <c r="D75" s="42"/>
      <c r="E75" s="44">
        <v>11.4</v>
      </c>
      <c r="F75" s="44">
        <v>370.0</v>
      </c>
      <c r="G75" s="42"/>
      <c r="H75" s="42"/>
      <c r="I75" s="44">
        <v>4.01</v>
      </c>
      <c r="J75" s="44">
        <v>437.0</v>
      </c>
      <c r="M75" s="44">
        <v>37.5</v>
      </c>
      <c r="N75" s="44">
        <v>453.0</v>
      </c>
    </row>
    <row r="76" ht="12.75" customHeight="1">
      <c r="A76" s="45">
        <v>0.125</v>
      </c>
      <c r="B76" s="44">
        <v>374.0</v>
      </c>
      <c r="C76" s="23"/>
      <c r="D76" s="42"/>
      <c r="E76" s="44">
        <v>11.3</v>
      </c>
      <c r="F76" s="44">
        <v>378.0</v>
      </c>
      <c r="G76" s="42"/>
      <c r="H76" s="42"/>
      <c r="I76" s="44">
        <v>4.05</v>
      </c>
      <c r="J76" s="44">
        <v>441.0</v>
      </c>
      <c r="M76" s="44">
        <v>38.0</v>
      </c>
      <c r="N76" s="44">
        <v>457.0</v>
      </c>
    </row>
    <row r="77" ht="12.75" customHeight="1">
      <c r="A77" s="45">
        <v>0.12430555555555556</v>
      </c>
      <c r="B77" s="44">
        <v>378.0</v>
      </c>
      <c r="C77" s="23"/>
      <c r="D77" s="42"/>
      <c r="E77" s="44">
        <v>11.2</v>
      </c>
      <c r="F77" s="44">
        <v>387.0</v>
      </c>
      <c r="G77" s="42"/>
      <c r="H77" s="42"/>
      <c r="I77" s="44">
        <v>4.09</v>
      </c>
      <c r="J77" s="44">
        <v>446.0</v>
      </c>
      <c r="M77" s="44">
        <v>38.5</v>
      </c>
      <c r="N77" s="44">
        <v>461.0</v>
      </c>
    </row>
    <row r="78" ht="12.75" customHeight="1">
      <c r="A78" s="45">
        <v>0.12361111111111112</v>
      </c>
      <c r="B78" s="44">
        <v>381.0</v>
      </c>
      <c r="C78" s="23"/>
      <c r="D78" s="42"/>
      <c r="E78" s="44">
        <v>11.1</v>
      </c>
      <c r="F78" s="44">
        <v>396.0</v>
      </c>
      <c r="G78" s="42"/>
      <c r="H78" s="42"/>
      <c r="I78" s="44">
        <v>4.13</v>
      </c>
      <c r="J78" s="44">
        <v>451.0</v>
      </c>
      <c r="M78" s="44">
        <v>39.0</v>
      </c>
      <c r="N78" s="44">
        <v>464.0</v>
      </c>
    </row>
    <row r="79" ht="12.75" customHeight="1">
      <c r="A79" s="45">
        <v>0.12291666666666666</v>
      </c>
      <c r="B79" s="44">
        <v>385.0</v>
      </c>
      <c r="C79" s="23"/>
      <c r="D79" s="42"/>
      <c r="E79" s="44">
        <v>11.0</v>
      </c>
      <c r="F79" s="44">
        <v>405.0</v>
      </c>
      <c r="G79" s="42"/>
      <c r="H79" s="42"/>
      <c r="I79" s="44">
        <v>4.17</v>
      </c>
      <c r="J79" s="44">
        <v>456.0</v>
      </c>
      <c r="M79" s="44">
        <v>39.5</v>
      </c>
      <c r="N79" s="44">
        <v>468.0</v>
      </c>
    </row>
    <row r="80" ht="12.75" customHeight="1">
      <c r="A80" s="45">
        <v>0.12222222222222222</v>
      </c>
      <c r="B80" s="44">
        <v>389.0</v>
      </c>
      <c r="C80" s="23"/>
      <c r="D80" s="42"/>
      <c r="E80" s="44">
        <v>10.9</v>
      </c>
      <c r="F80" s="44">
        <v>414.0</v>
      </c>
      <c r="G80" s="42"/>
      <c r="H80" s="42"/>
      <c r="I80" s="44">
        <v>4.21</v>
      </c>
      <c r="J80" s="44">
        <v>460.0</v>
      </c>
      <c r="M80" s="44">
        <v>40.0</v>
      </c>
      <c r="N80" s="44">
        <v>472.0</v>
      </c>
    </row>
    <row r="81" ht="12.75" customHeight="1">
      <c r="A81" s="45">
        <v>0.12152777777777778</v>
      </c>
      <c r="B81" s="44">
        <v>393.0</v>
      </c>
      <c r="C81" s="23"/>
      <c r="D81" s="42"/>
      <c r="E81" s="44">
        <v>10.8</v>
      </c>
      <c r="F81" s="44">
        <v>423.0</v>
      </c>
      <c r="G81" s="42"/>
      <c r="H81" s="42"/>
      <c r="I81" s="44">
        <v>4.25</v>
      </c>
      <c r="J81" s="44">
        <v>465.0</v>
      </c>
      <c r="M81" s="44">
        <v>40.5</v>
      </c>
      <c r="N81" s="44">
        <v>476.0</v>
      </c>
    </row>
    <row r="82" ht="12.75" customHeight="1">
      <c r="A82" s="45">
        <v>0.12083333333333333</v>
      </c>
      <c r="B82" s="44">
        <v>397.0</v>
      </c>
      <c r="C82" s="23"/>
      <c r="D82" s="42"/>
      <c r="E82" s="44">
        <v>10.7</v>
      </c>
      <c r="F82" s="44">
        <v>432.0</v>
      </c>
      <c r="G82" s="42"/>
      <c r="H82" s="42"/>
      <c r="I82" s="44">
        <v>4.29</v>
      </c>
      <c r="J82" s="44">
        <v>470.0</v>
      </c>
      <c r="M82" s="44">
        <v>41.0</v>
      </c>
      <c r="N82" s="44">
        <v>480.0</v>
      </c>
    </row>
    <row r="83" ht="12.75" customHeight="1">
      <c r="A83" s="45">
        <v>0.12013888888888889</v>
      </c>
      <c r="B83" s="44">
        <v>402.0</v>
      </c>
      <c r="C83" s="23"/>
      <c r="D83" s="42"/>
      <c r="E83" s="44">
        <v>10.6</v>
      </c>
      <c r="F83" s="44">
        <v>442.0</v>
      </c>
      <c r="G83" s="42"/>
      <c r="H83" s="42"/>
      <c r="I83" s="44">
        <v>4.33</v>
      </c>
      <c r="J83" s="44">
        <v>474.0</v>
      </c>
      <c r="M83" s="44">
        <v>41.5</v>
      </c>
      <c r="N83" s="44">
        <v>483.0</v>
      </c>
    </row>
    <row r="84" ht="12.75" customHeight="1">
      <c r="A84" s="45">
        <v>0.11944444444444445</v>
      </c>
      <c r="B84" s="44">
        <v>406.0</v>
      </c>
      <c r="C84" s="23"/>
      <c r="D84" s="42"/>
      <c r="E84" s="44">
        <v>10.5</v>
      </c>
      <c r="F84" s="44">
        <v>452.0</v>
      </c>
      <c r="G84" s="42"/>
      <c r="H84" s="42"/>
      <c r="I84" s="44">
        <v>4.37</v>
      </c>
      <c r="J84" s="44">
        <v>479.0</v>
      </c>
      <c r="M84" s="44">
        <v>42.0</v>
      </c>
      <c r="N84" s="44">
        <v>487.0</v>
      </c>
    </row>
    <row r="85" ht="12.75" customHeight="1">
      <c r="A85" s="45">
        <v>0.11875</v>
      </c>
      <c r="B85" s="44">
        <v>410.0</v>
      </c>
      <c r="C85" s="23"/>
      <c r="D85" s="42"/>
      <c r="E85" s="44">
        <v>10.4</v>
      </c>
      <c r="F85" s="44">
        <v>462.0</v>
      </c>
      <c r="G85" s="42"/>
      <c r="H85" s="42"/>
      <c r="I85" s="44">
        <v>4.41</v>
      </c>
      <c r="J85" s="44">
        <v>483.0</v>
      </c>
      <c r="M85" s="44">
        <v>42.5</v>
      </c>
      <c r="N85" s="44">
        <v>491.0</v>
      </c>
    </row>
    <row r="86" ht="12.75" customHeight="1">
      <c r="A86" s="45">
        <v>0.11805555555555555</v>
      </c>
      <c r="B86" s="44">
        <v>414.0</v>
      </c>
      <c r="C86" s="23"/>
      <c r="D86" s="42"/>
      <c r="E86" s="44">
        <v>10.3</v>
      </c>
      <c r="F86" s="44">
        <v>472.0</v>
      </c>
      <c r="G86" s="42"/>
      <c r="H86" s="42"/>
      <c r="I86" s="44">
        <v>4.45</v>
      </c>
      <c r="J86" s="44">
        <v>488.0</v>
      </c>
      <c r="M86" s="44">
        <v>43.0</v>
      </c>
      <c r="N86" s="44">
        <v>494.0</v>
      </c>
    </row>
    <row r="87" ht="12.75" customHeight="1">
      <c r="A87" s="45">
        <v>0.11736111111111111</v>
      </c>
      <c r="B87" s="44">
        <v>418.0</v>
      </c>
      <c r="C87" s="23"/>
      <c r="D87" s="42"/>
      <c r="E87" s="44">
        <v>10.2</v>
      </c>
      <c r="F87" s="44">
        <v>482.0</v>
      </c>
      <c r="G87" s="42"/>
      <c r="H87" s="42"/>
      <c r="I87" s="44">
        <v>4.49</v>
      </c>
      <c r="J87" s="44">
        <v>493.0</v>
      </c>
      <c r="M87" s="44">
        <v>43.5</v>
      </c>
      <c r="N87" s="44">
        <v>498.0</v>
      </c>
    </row>
    <row r="88" ht="12.75" customHeight="1">
      <c r="A88" s="45">
        <v>0.11666666666666667</v>
      </c>
      <c r="B88" s="44">
        <v>423.0</v>
      </c>
      <c r="C88" s="23"/>
      <c r="D88" s="42"/>
      <c r="E88" s="44">
        <v>10.1</v>
      </c>
      <c r="F88" s="44">
        <v>493.0</v>
      </c>
      <c r="G88" s="42"/>
      <c r="H88" s="42"/>
      <c r="I88" s="44">
        <v>4.53</v>
      </c>
      <c r="J88" s="44">
        <v>497.0</v>
      </c>
      <c r="M88" s="44">
        <v>44.0</v>
      </c>
      <c r="N88" s="44">
        <v>502.0</v>
      </c>
    </row>
    <row r="89" ht="12.75" customHeight="1">
      <c r="A89" s="45">
        <v>0.11597222222222223</v>
      </c>
      <c r="B89" s="44">
        <v>427.0</v>
      </c>
      <c r="C89" s="23"/>
      <c r="D89" s="42"/>
      <c r="E89" s="44">
        <v>10.0</v>
      </c>
      <c r="F89" s="44">
        <v>503.0</v>
      </c>
      <c r="G89" s="42"/>
      <c r="H89" s="42"/>
      <c r="I89" s="44">
        <v>4.57</v>
      </c>
      <c r="J89" s="44">
        <v>502.0</v>
      </c>
      <c r="M89" s="44">
        <v>44.5</v>
      </c>
      <c r="N89" s="44">
        <v>505.0</v>
      </c>
    </row>
    <row r="90" ht="12.75" customHeight="1">
      <c r="A90" s="45">
        <v>0.11527777777777778</v>
      </c>
      <c r="B90" s="44">
        <v>432.0</v>
      </c>
      <c r="C90" s="23"/>
      <c r="D90" s="42"/>
      <c r="E90" s="44">
        <v>9.9</v>
      </c>
      <c r="F90" s="44">
        <v>514.0</v>
      </c>
      <c r="G90" s="42"/>
      <c r="H90" s="42"/>
      <c r="I90" s="44">
        <v>4.61</v>
      </c>
      <c r="J90" s="44">
        <v>506.0</v>
      </c>
      <c r="M90" s="44">
        <v>45.0</v>
      </c>
      <c r="N90" s="44">
        <v>509.0</v>
      </c>
    </row>
    <row r="91" ht="12.75" customHeight="1">
      <c r="A91" s="45">
        <v>0.11458333333333333</v>
      </c>
      <c r="B91" s="44">
        <v>436.0</v>
      </c>
      <c r="C91" s="23"/>
      <c r="D91" s="42"/>
      <c r="E91" s="44">
        <v>9.8</v>
      </c>
      <c r="F91" s="44">
        <v>525.0</v>
      </c>
      <c r="G91" s="42"/>
      <c r="H91" s="42"/>
      <c r="I91" s="44">
        <v>4.65</v>
      </c>
      <c r="J91" s="44">
        <v>511.0</v>
      </c>
      <c r="M91" s="44">
        <v>45.5</v>
      </c>
      <c r="N91" s="44">
        <v>513.0</v>
      </c>
    </row>
    <row r="92" ht="12.75" customHeight="1">
      <c r="A92" s="45">
        <v>0.11388888888888889</v>
      </c>
      <c r="B92" s="44">
        <v>441.0</v>
      </c>
      <c r="C92" s="23"/>
      <c r="D92" s="42"/>
      <c r="E92" s="44">
        <v>9.7</v>
      </c>
      <c r="F92" s="44">
        <v>537.0</v>
      </c>
      <c r="G92" s="42"/>
      <c r="H92" s="42"/>
      <c r="I92" s="44">
        <v>4.69</v>
      </c>
      <c r="J92" s="44">
        <v>515.0</v>
      </c>
      <c r="M92" s="44">
        <v>46.0</v>
      </c>
      <c r="N92" s="44">
        <v>516.0</v>
      </c>
    </row>
    <row r="93" ht="12.75" customHeight="1">
      <c r="A93" s="45">
        <v>0.11319444444444444</v>
      </c>
      <c r="B93" s="44">
        <v>445.0</v>
      </c>
      <c r="C93" s="23"/>
      <c r="D93" s="42"/>
      <c r="E93" s="44">
        <v>9.6</v>
      </c>
      <c r="F93" s="44">
        <v>549.0</v>
      </c>
      <c r="G93" s="42"/>
      <c r="H93" s="42"/>
      <c r="I93" s="44">
        <v>4.73</v>
      </c>
      <c r="J93" s="44">
        <v>519.0</v>
      </c>
      <c r="M93" s="44">
        <v>46.5</v>
      </c>
      <c r="N93" s="44">
        <v>520.0</v>
      </c>
    </row>
    <row r="94" ht="12.75" customHeight="1">
      <c r="A94" s="45">
        <v>0.1125</v>
      </c>
      <c r="B94" s="44">
        <v>450.0</v>
      </c>
      <c r="C94" s="23"/>
      <c r="D94" s="42"/>
      <c r="E94" s="44">
        <v>9.5</v>
      </c>
      <c r="F94" s="44">
        <v>560.0</v>
      </c>
      <c r="G94" s="42"/>
      <c r="H94" s="42"/>
      <c r="I94" s="44">
        <v>4.77</v>
      </c>
      <c r="J94" s="44">
        <v>524.0</v>
      </c>
      <c r="M94" s="44">
        <v>47.0</v>
      </c>
      <c r="N94" s="44">
        <v>523.0</v>
      </c>
    </row>
    <row r="95" ht="12.75" customHeight="1">
      <c r="A95" s="45">
        <v>0.11180555555555556</v>
      </c>
      <c r="B95" s="44">
        <v>455.0</v>
      </c>
      <c r="C95" s="23"/>
      <c r="D95" s="42"/>
      <c r="E95" s="44">
        <v>9.4</v>
      </c>
      <c r="F95" s="44">
        <v>573.0</v>
      </c>
      <c r="G95" s="42"/>
      <c r="H95" s="42"/>
      <c r="I95" s="44">
        <v>4.81</v>
      </c>
      <c r="J95" s="44">
        <v>528.0</v>
      </c>
      <c r="M95" s="44">
        <v>47.5</v>
      </c>
      <c r="N95" s="44">
        <v>527.0</v>
      </c>
    </row>
    <row r="96" ht="12.75" customHeight="1">
      <c r="A96" s="45">
        <v>0.1111111111111111</v>
      </c>
      <c r="B96" s="44">
        <v>460.0</v>
      </c>
      <c r="C96" s="23"/>
      <c r="D96" s="42"/>
      <c r="E96" s="44">
        <v>9.3</v>
      </c>
      <c r="F96" s="44">
        <v>585.0</v>
      </c>
      <c r="G96" s="42"/>
      <c r="H96" s="42"/>
      <c r="I96" s="44">
        <v>4.85</v>
      </c>
      <c r="J96" s="44">
        <v>533.0</v>
      </c>
      <c r="M96" s="44">
        <v>48.0</v>
      </c>
      <c r="N96" s="44">
        <v>530.0</v>
      </c>
    </row>
    <row r="97" ht="12.75" customHeight="1">
      <c r="A97" s="45">
        <v>0.11041666666666666</v>
      </c>
      <c r="B97" s="44">
        <v>464.0</v>
      </c>
      <c r="C97" s="23"/>
      <c r="D97" s="42"/>
      <c r="E97" s="44">
        <v>9.2</v>
      </c>
      <c r="F97" s="44">
        <v>598.0</v>
      </c>
      <c r="G97" s="42"/>
      <c r="H97" s="42"/>
      <c r="I97" s="44">
        <v>4.89</v>
      </c>
      <c r="J97" s="44">
        <v>537.0</v>
      </c>
      <c r="M97" s="44">
        <v>48.5</v>
      </c>
      <c r="N97" s="44">
        <v>534.0</v>
      </c>
    </row>
    <row r="98" ht="12.75" customHeight="1">
      <c r="A98" s="45">
        <v>0.10972222222222222</v>
      </c>
      <c r="B98" s="44">
        <v>469.0</v>
      </c>
      <c r="C98" s="23"/>
      <c r="D98" s="42"/>
      <c r="E98" s="44">
        <v>9.1</v>
      </c>
      <c r="F98" s="44">
        <v>610.0</v>
      </c>
      <c r="G98" s="42"/>
      <c r="H98" s="42"/>
      <c r="I98" s="44">
        <v>4.93</v>
      </c>
      <c r="J98" s="44">
        <v>541.0</v>
      </c>
      <c r="M98" s="44">
        <v>49.0</v>
      </c>
      <c r="N98" s="44">
        <v>537.0</v>
      </c>
    </row>
    <row r="99" ht="12.75" customHeight="1">
      <c r="A99" s="45">
        <v>0.10902777777777778</v>
      </c>
      <c r="B99" s="44">
        <v>474.0</v>
      </c>
      <c r="C99" s="23"/>
      <c r="D99" s="42"/>
      <c r="E99" s="44">
        <v>9.0</v>
      </c>
      <c r="F99" s="44">
        <v>624.0</v>
      </c>
      <c r="G99" s="42"/>
      <c r="H99" s="42"/>
      <c r="I99" s="44">
        <v>4.97</v>
      </c>
      <c r="J99" s="44">
        <v>546.0</v>
      </c>
      <c r="M99" s="44">
        <v>49.5</v>
      </c>
      <c r="N99" s="44">
        <v>540.0</v>
      </c>
    </row>
    <row r="100" ht="12.75" customHeight="1">
      <c r="A100" s="45">
        <v>0.10833333333333334</v>
      </c>
      <c r="B100" s="44">
        <v>479.0</v>
      </c>
      <c r="C100" s="23"/>
      <c r="D100" s="42"/>
      <c r="E100" s="44">
        <v>8.9</v>
      </c>
      <c r="F100" s="44">
        <v>637.0</v>
      </c>
      <c r="G100" s="42"/>
      <c r="H100" s="42"/>
      <c r="I100" s="44">
        <v>5.01</v>
      </c>
      <c r="J100" s="44">
        <v>550.0</v>
      </c>
      <c r="M100" s="44">
        <v>50.0</v>
      </c>
      <c r="N100" s="44">
        <v>544.0</v>
      </c>
    </row>
    <row r="101" ht="12.75" customHeight="1">
      <c r="A101" s="45">
        <v>0.1076388888888889</v>
      </c>
      <c r="B101" s="44">
        <v>485.0</v>
      </c>
      <c r="C101" s="23"/>
      <c r="D101" s="42"/>
      <c r="E101" s="44">
        <v>8.8</v>
      </c>
      <c r="F101" s="44">
        <v>651.0</v>
      </c>
      <c r="G101" s="42"/>
      <c r="H101" s="42"/>
      <c r="I101" s="44">
        <v>5.05</v>
      </c>
      <c r="J101" s="44">
        <v>554.0</v>
      </c>
      <c r="M101" s="44">
        <v>50.5</v>
      </c>
      <c r="N101" s="44">
        <v>547.0</v>
      </c>
    </row>
    <row r="102" ht="12.75" customHeight="1">
      <c r="A102" s="45">
        <v>0.10694444444444444</v>
      </c>
      <c r="B102" s="44">
        <v>490.0</v>
      </c>
      <c r="C102" s="23"/>
      <c r="D102" s="42"/>
      <c r="E102" s="42"/>
      <c r="F102" s="42"/>
      <c r="G102" s="42"/>
      <c r="H102" s="42"/>
      <c r="I102" s="44">
        <v>5.09</v>
      </c>
      <c r="J102" s="44">
        <v>558.0</v>
      </c>
      <c r="M102" s="44">
        <v>51.0</v>
      </c>
      <c r="N102" s="44">
        <v>551.0</v>
      </c>
    </row>
    <row r="103" ht="12.75" customHeight="1">
      <c r="A103" s="45">
        <v>0.10625</v>
      </c>
      <c r="B103" s="44">
        <v>495.0</v>
      </c>
      <c r="C103" s="23"/>
      <c r="D103" s="42"/>
      <c r="E103" s="42"/>
      <c r="F103" s="42"/>
      <c r="G103" s="42"/>
      <c r="H103" s="42"/>
      <c r="I103" s="44">
        <v>5.13</v>
      </c>
      <c r="J103" s="44">
        <v>563.0</v>
      </c>
      <c r="M103" s="44">
        <v>51.5</v>
      </c>
      <c r="N103" s="44">
        <v>554.0</v>
      </c>
    </row>
    <row r="104" ht="12.75" customHeight="1">
      <c r="A104" s="45">
        <v>0.10555555555555556</v>
      </c>
      <c r="B104" s="44">
        <v>500.0</v>
      </c>
      <c r="C104" s="23"/>
      <c r="D104" s="42"/>
      <c r="E104" s="42"/>
      <c r="F104" s="42"/>
      <c r="G104" s="42"/>
      <c r="H104" s="42"/>
      <c r="I104" s="44">
        <v>5.17</v>
      </c>
      <c r="J104" s="44">
        <v>567.0</v>
      </c>
      <c r="M104" s="44">
        <v>52.0</v>
      </c>
      <c r="N104" s="44">
        <v>557.0</v>
      </c>
    </row>
    <row r="105" ht="12.75" customHeight="1">
      <c r="A105" s="45">
        <v>0.10486111111111111</v>
      </c>
      <c r="B105" s="44">
        <v>506.0</v>
      </c>
      <c r="C105" s="23"/>
      <c r="D105" s="42"/>
      <c r="E105" s="42"/>
      <c r="F105" s="42"/>
      <c r="G105" s="42"/>
      <c r="H105" s="42"/>
      <c r="I105" s="44">
        <v>5.21</v>
      </c>
      <c r="J105" s="44">
        <v>571.0</v>
      </c>
      <c r="M105" s="44">
        <v>52.5</v>
      </c>
      <c r="N105" s="44">
        <v>561.0</v>
      </c>
    </row>
    <row r="106" ht="12.75" customHeight="1">
      <c r="A106" s="45">
        <v>0.10416666666666667</v>
      </c>
      <c r="B106" s="44">
        <v>511.0</v>
      </c>
      <c r="C106" s="23"/>
      <c r="D106" s="42"/>
      <c r="E106" s="42"/>
      <c r="F106" s="42"/>
      <c r="G106" s="42"/>
      <c r="H106" s="42"/>
      <c r="I106" s="44">
        <v>5.25</v>
      </c>
      <c r="J106" s="44">
        <v>575.0</v>
      </c>
      <c r="M106" s="44">
        <v>53.0</v>
      </c>
      <c r="N106" s="44">
        <v>564.0</v>
      </c>
    </row>
    <row r="107" ht="12.75" customHeight="1">
      <c r="A107" s="45">
        <v>0.10347222222222222</v>
      </c>
      <c r="B107" s="44">
        <v>517.0</v>
      </c>
      <c r="C107" s="23"/>
      <c r="D107" s="42"/>
      <c r="E107" s="42"/>
      <c r="F107" s="42"/>
      <c r="G107" s="42"/>
      <c r="H107" s="42"/>
      <c r="I107" s="44">
        <v>5.29</v>
      </c>
      <c r="J107" s="44">
        <v>580.0</v>
      </c>
      <c r="M107" s="44">
        <v>53.5</v>
      </c>
      <c r="N107" s="44">
        <v>567.0</v>
      </c>
    </row>
    <row r="108" ht="12.75" customHeight="1">
      <c r="A108" s="45">
        <v>0.10277777777777777</v>
      </c>
      <c r="B108" s="44">
        <v>522.0</v>
      </c>
      <c r="C108" s="23"/>
      <c r="D108" s="42"/>
      <c r="E108" s="42"/>
      <c r="F108" s="42"/>
      <c r="G108" s="42"/>
      <c r="H108" s="42"/>
      <c r="I108" s="44">
        <v>5.33</v>
      </c>
      <c r="J108" s="44">
        <v>584.0</v>
      </c>
      <c r="M108" s="44">
        <v>54.0</v>
      </c>
      <c r="N108" s="44">
        <v>571.0</v>
      </c>
    </row>
    <row r="109" ht="12.75" customHeight="1">
      <c r="A109" s="45">
        <v>0.10208333333333333</v>
      </c>
      <c r="B109" s="44">
        <v>528.0</v>
      </c>
      <c r="C109" s="23"/>
      <c r="D109" s="42"/>
      <c r="E109" s="42"/>
      <c r="F109" s="42"/>
      <c r="G109" s="42"/>
      <c r="H109" s="42"/>
      <c r="I109" s="44">
        <v>5.37</v>
      </c>
      <c r="J109" s="44">
        <v>588.0</v>
      </c>
      <c r="M109" s="44">
        <v>54.5</v>
      </c>
      <c r="N109" s="44">
        <v>574.0</v>
      </c>
    </row>
    <row r="110" ht="12.75" customHeight="1">
      <c r="A110" s="45">
        <v>0.10138888888888889</v>
      </c>
      <c r="B110" s="44">
        <v>534.0</v>
      </c>
      <c r="C110" s="23"/>
      <c r="D110" s="42"/>
      <c r="E110" s="42"/>
      <c r="F110" s="42"/>
      <c r="G110" s="42"/>
      <c r="H110" s="42"/>
      <c r="I110" s="44">
        <v>5.41</v>
      </c>
      <c r="J110" s="44">
        <v>592.0</v>
      </c>
      <c r="M110" s="44">
        <v>55.0</v>
      </c>
      <c r="N110" s="44">
        <v>577.0</v>
      </c>
    </row>
    <row r="111" ht="12.75" customHeight="1">
      <c r="A111" s="45">
        <v>0.10069444444444445</v>
      </c>
      <c r="B111" s="44">
        <v>540.0</v>
      </c>
      <c r="C111" s="23"/>
      <c r="D111" s="42"/>
      <c r="E111" s="42"/>
      <c r="F111" s="42"/>
      <c r="G111" s="42"/>
      <c r="H111" s="42"/>
      <c r="I111" s="44">
        <v>5.45</v>
      </c>
      <c r="J111" s="44">
        <v>596.0</v>
      </c>
      <c r="M111" s="44">
        <v>55.5</v>
      </c>
      <c r="N111" s="44">
        <v>580.0</v>
      </c>
    </row>
    <row r="112" ht="12.75" customHeight="1">
      <c r="A112" s="45">
        <v>0.1</v>
      </c>
      <c r="B112" s="44">
        <v>545.0</v>
      </c>
      <c r="C112" s="23"/>
      <c r="D112" s="42"/>
      <c r="E112" s="42"/>
      <c r="F112" s="42"/>
      <c r="G112" s="42"/>
      <c r="H112" s="42"/>
      <c r="I112" s="44">
        <v>5.49</v>
      </c>
      <c r="J112" s="44">
        <v>600.0</v>
      </c>
      <c r="M112" s="44">
        <v>56.0</v>
      </c>
      <c r="N112" s="44">
        <v>584.0</v>
      </c>
    </row>
    <row r="113" ht="12.75" customHeight="1">
      <c r="A113" s="45">
        <v>0.09930555555555555</v>
      </c>
      <c r="B113" s="44">
        <v>551.0</v>
      </c>
      <c r="C113" s="23"/>
      <c r="D113" s="42"/>
      <c r="E113" s="42"/>
      <c r="F113" s="42"/>
      <c r="G113" s="42"/>
      <c r="H113" s="42"/>
      <c r="I113" s="44">
        <v>5.53</v>
      </c>
      <c r="J113" s="44">
        <v>604.0</v>
      </c>
      <c r="M113" s="44">
        <v>56.5</v>
      </c>
      <c r="N113" s="44">
        <v>587.0</v>
      </c>
    </row>
    <row r="114" ht="12.75" customHeight="1">
      <c r="A114" s="45">
        <v>0.09861111111111111</v>
      </c>
      <c r="B114" s="44">
        <v>558.0</v>
      </c>
      <c r="C114" s="23"/>
      <c r="D114" s="42"/>
      <c r="E114" s="42"/>
      <c r="F114" s="42"/>
      <c r="G114" s="42"/>
      <c r="H114" s="42"/>
      <c r="I114" s="44">
        <v>5.57</v>
      </c>
      <c r="J114" s="44">
        <v>608.0</v>
      </c>
      <c r="M114" s="44">
        <v>57.0</v>
      </c>
      <c r="N114" s="44">
        <v>590.0</v>
      </c>
    </row>
    <row r="115" ht="12.75" customHeight="1">
      <c r="A115" s="45">
        <v>0.09791666666666667</v>
      </c>
      <c r="B115" s="44">
        <v>564.0</v>
      </c>
      <c r="C115" s="23"/>
      <c r="D115" s="42"/>
      <c r="E115" s="42"/>
      <c r="F115" s="42"/>
      <c r="G115" s="42"/>
      <c r="H115" s="42"/>
      <c r="I115" s="44">
        <v>5.61</v>
      </c>
      <c r="J115" s="44">
        <v>613.0</v>
      </c>
      <c r="M115" s="44">
        <v>57.5</v>
      </c>
      <c r="N115" s="44">
        <v>593.0</v>
      </c>
    </row>
    <row r="116" ht="12.75" customHeight="1">
      <c r="A116" s="45">
        <v>0.09722222222222222</v>
      </c>
      <c r="B116" s="44">
        <v>570.0</v>
      </c>
      <c r="C116" s="23"/>
      <c r="D116" s="42"/>
      <c r="E116" s="42"/>
      <c r="F116" s="42"/>
      <c r="G116" s="42"/>
      <c r="H116" s="42"/>
      <c r="I116" s="44">
        <v>5.65</v>
      </c>
      <c r="J116" s="44">
        <v>617.0</v>
      </c>
      <c r="M116" s="44">
        <v>58.0</v>
      </c>
      <c r="N116" s="44">
        <v>596.0</v>
      </c>
    </row>
    <row r="117" ht="12.75" customHeight="1">
      <c r="A117" s="45">
        <v>0.09652777777777778</v>
      </c>
      <c r="B117" s="44">
        <v>576.0</v>
      </c>
      <c r="C117" s="23"/>
      <c r="D117" s="42"/>
      <c r="E117" s="42"/>
      <c r="F117" s="42"/>
      <c r="G117" s="42"/>
      <c r="H117" s="42"/>
      <c r="I117" s="44">
        <v>5.69</v>
      </c>
      <c r="J117" s="44">
        <v>621.0</v>
      </c>
      <c r="M117" s="44">
        <v>58.5</v>
      </c>
      <c r="N117" s="44">
        <v>599.0</v>
      </c>
    </row>
    <row r="118" ht="12.75" customHeight="1">
      <c r="A118" s="45">
        <v>0.09583333333333334</v>
      </c>
      <c r="B118" s="44">
        <v>583.0</v>
      </c>
      <c r="C118" s="23"/>
      <c r="D118" s="42"/>
      <c r="E118" s="42"/>
      <c r="F118" s="42"/>
      <c r="G118" s="42"/>
      <c r="H118" s="42"/>
      <c r="I118" s="44">
        <v>5.73</v>
      </c>
      <c r="J118" s="44">
        <v>625.0</v>
      </c>
      <c r="M118" s="44">
        <v>59.0</v>
      </c>
      <c r="N118" s="44">
        <v>603.0</v>
      </c>
    </row>
    <row r="119" ht="12.75" customHeight="1">
      <c r="A119" s="45">
        <v>0.09513888888888888</v>
      </c>
      <c r="B119" s="44">
        <v>589.0</v>
      </c>
      <c r="C119" s="23"/>
      <c r="D119" s="42"/>
      <c r="E119" s="42"/>
      <c r="F119" s="42"/>
      <c r="G119" s="42"/>
      <c r="H119" s="42"/>
      <c r="I119" s="44">
        <v>5.77</v>
      </c>
      <c r="J119" s="44">
        <v>629.0</v>
      </c>
      <c r="M119" s="44">
        <v>59.5</v>
      </c>
      <c r="N119" s="44">
        <v>606.0</v>
      </c>
    </row>
    <row r="120" ht="12.75" customHeight="1">
      <c r="A120" s="45">
        <v>0.09444444444444444</v>
      </c>
      <c r="B120" s="44">
        <v>596.0</v>
      </c>
      <c r="C120" s="23"/>
      <c r="D120" s="42"/>
      <c r="E120" s="42"/>
      <c r="F120" s="42"/>
      <c r="G120" s="42"/>
      <c r="H120" s="42"/>
      <c r="I120" s="44">
        <v>5.81</v>
      </c>
      <c r="J120" s="44">
        <v>633.0</v>
      </c>
      <c r="M120" s="44">
        <v>60.0</v>
      </c>
      <c r="N120" s="44">
        <v>609.0</v>
      </c>
    </row>
    <row r="121" ht="12.75" customHeight="1">
      <c r="A121" s="45">
        <v>0.09375</v>
      </c>
      <c r="B121" s="44">
        <v>603.0</v>
      </c>
      <c r="C121" s="23"/>
      <c r="D121" s="42"/>
      <c r="E121" s="42"/>
      <c r="F121" s="42"/>
      <c r="G121" s="42"/>
      <c r="H121" s="42"/>
      <c r="I121" s="44">
        <v>5.85</v>
      </c>
      <c r="J121" s="44">
        <v>637.0</v>
      </c>
      <c r="M121" s="44">
        <v>60.5</v>
      </c>
      <c r="N121" s="44">
        <v>612.0</v>
      </c>
    </row>
    <row r="122" ht="12.75" customHeight="1">
      <c r="A122" s="45">
        <v>0.09305555555555556</v>
      </c>
      <c r="B122" s="44">
        <v>610.0</v>
      </c>
      <c r="C122" s="23"/>
      <c r="D122" s="42"/>
      <c r="E122" s="42"/>
      <c r="F122" s="42"/>
      <c r="G122" s="42"/>
      <c r="H122" s="42"/>
      <c r="I122" s="44">
        <v>5.89</v>
      </c>
      <c r="J122" s="44">
        <v>641.0</v>
      </c>
      <c r="M122" s="44">
        <v>61.0</v>
      </c>
      <c r="N122" s="44">
        <v>615.0</v>
      </c>
    </row>
    <row r="123" ht="12.75" customHeight="1">
      <c r="A123" s="45">
        <v>0.09236111111111112</v>
      </c>
      <c r="B123" s="44">
        <v>616.0</v>
      </c>
      <c r="C123" s="23"/>
      <c r="D123" s="42"/>
      <c r="E123" s="42"/>
      <c r="F123" s="42"/>
      <c r="G123" s="42"/>
      <c r="H123" s="42"/>
      <c r="I123" s="44">
        <v>5.93</v>
      </c>
      <c r="J123" s="44">
        <v>645.0</v>
      </c>
      <c r="M123" s="44">
        <v>61.5</v>
      </c>
      <c r="N123" s="44">
        <v>618.0</v>
      </c>
    </row>
    <row r="124" ht="12.75" customHeight="1">
      <c r="A124" s="45">
        <v>0.09166666666666666</v>
      </c>
      <c r="B124" s="44">
        <v>624.0</v>
      </c>
      <c r="C124" s="23"/>
      <c r="D124" s="42"/>
      <c r="E124" s="42"/>
      <c r="F124" s="42"/>
      <c r="G124" s="42"/>
      <c r="H124" s="42"/>
      <c r="I124" s="44">
        <v>5.97</v>
      </c>
      <c r="J124" s="44">
        <v>648.0</v>
      </c>
      <c r="M124" s="44">
        <v>62.0</v>
      </c>
      <c r="N124" s="44">
        <v>621.0</v>
      </c>
    </row>
    <row r="125" ht="12.75" customHeight="1">
      <c r="A125" s="45">
        <v>0.09097222222222222</v>
      </c>
      <c r="B125" s="44">
        <v>631.0</v>
      </c>
      <c r="C125" s="23"/>
      <c r="D125" s="42"/>
      <c r="E125" s="42"/>
      <c r="F125" s="42"/>
      <c r="G125" s="42"/>
      <c r="H125" s="42"/>
      <c r="I125" s="44">
        <v>6.01</v>
      </c>
      <c r="J125" s="44">
        <v>652.0</v>
      </c>
      <c r="M125" s="44">
        <v>62.5</v>
      </c>
      <c r="N125" s="44">
        <v>624.0</v>
      </c>
    </row>
    <row r="126" ht="12.75" customHeight="1">
      <c r="A126" s="45">
        <v>0.09027777777777778</v>
      </c>
      <c r="B126" s="44">
        <v>638.0</v>
      </c>
      <c r="C126" s="23"/>
      <c r="D126" s="42"/>
      <c r="E126" s="42"/>
      <c r="F126" s="42"/>
      <c r="G126" s="42"/>
      <c r="H126" s="42"/>
      <c r="I126" s="44">
        <v>6.05</v>
      </c>
      <c r="J126" s="44">
        <v>656.0</v>
      </c>
      <c r="M126" s="44">
        <v>63.0</v>
      </c>
      <c r="N126" s="44">
        <v>627.0</v>
      </c>
    </row>
    <row r="127" ht="12.75" customHeight="1">
      <c r="A127" s="45">
        <v>0.08958333333333333</v>
      </c>
      <c r="B127" s="44">
        <v>645.0</v>
      </c>
      <c r="C127" s="23"/>
      <c r="D127" s="42"/>
      <c r="E127" s="42"/>
      <c r="F127" s="42"/>
      <c r="G127" s="42"/>
      <c r="H127" s="42"/>
      <c r="I127" s="44">
        <v>6.09</v>
      </c>
      <c r="J127" s="44">
        <v>660.0</v>
      </c>
      <c r="M127" s="44">
        <v>63.5</v>
      </c>
      <c r="N127" s="44">
        <v>630.0</v>
      </c>
    </row>
    <row r="128" ht="12.75" customHeight="1">
      <c r="A128" s="45">
        <v>0.08888888888888889</v>
      </c>
      <c r="B128" s="44">
        <v>653.0</v>
      </c>
      <c r="C128" s="23"/>
      <c r="D128" s="42"/>
      <c r="E128" s="42"/>
      <c r="F128" s="42"/>
      <c r="G128" s="42"/>
      <c r="H128" s="42"/>
      <c r="I128" s="44">
        <v>6.13</v>
      </c>
      <c r="J128" s="44">
        <v>664.0</v>
      </c>
      <c r="M128" s="44">
        <v>64.0</v>
      </c>
      <c r="N128" s="44">
        <v>633.0</v>
      </c>
    </row>
    <row r="129" ht="12.75" customHeight="1">
      <c r="A129" s="45">
        <v>0.08819444444444445</v>
      </c>
      <c r="B129" s="44">
        <v>660.0</v>
      </c>
      <c r="C129" s="23"/>
      <c r="D129" s="42"/>
      <c r="E129" s="42"/>
      <c r="F129" s="42"/>
      <c r="G129" s="42"/>
      <c r="H129" s="42"/>
      <c r="I129" s="44">
        <v>6.17</v>
      </c>
      <c r="J129" s="44">
        <v>668.0</v>
      </c>
      <c r="M129" s="44">
        <v>64.5</v>
      </c>
      <c r="N129" s="44">
        <v>636.0</v>
      </c>
    </row>
    <row r="130" ht="12.75" customHeight="1">
      <c r="A130" s="45">
        <v>0.0875</v>
      </c>
      <c r="B130" s="44">
        <v>668.0</v>
      </c>
      <c r="C130" s="23"/>
      <c r="D130" s="42"/>
      <c r="E130" s="42"/>
      <c r="F130" s="42"/>
      <c r="G130" s="42"/>
      <c r="H130" s="42"/>
      <c r="I130" s="44">
        <v>6.21</v>
      </c>
      <c r="J130" s="44">
        <v>672.0</v>
      </c>
      <c r="M130" s="44">
        <v>65.0</v>
      </c>
      <c r="N130" s="44">
        <v>639.0</v>
      </c>
    </row>
    <row r="131" ht="12.75" customHeight="1">
      <c r="A131" s="45">
        <v>0.08680555555555555</v>
      </c>
      <c r="B131" s="44">
        <v>676.0</v>
      </c>
      <c r="C131" s="23"/>
      <c r="D131" s="42"/>
      <c r="E131" s="42"/>
      <c r="F131" s="42"/>
      <c r="G131" s="42"/>
      <c r="H131" s="42"/>
      <c r="I131" s="44">
        <v>6.25</v>
      </c>
      <c r="J131" s="44">
        <v>676.0</v>
      </c>
      <c r="M131" s="44">
        <v>65.5</v>
      </c>
      <c r="N131" s="44">
        <v>642.0</v>
      </c>
    </row>
    <row r="132" ht="12.75" customHeight="1">
      <c r="A132" s="45">
        <v>0.08611111111111111</v>
      </c>
      <c r="B132" s="44">
        <v>684.0</v>
      </c>
      <c r="C132" s="23"/>
      <c r="D132" s="42"/>
      <c r="E132" s="42"/>
      <c r="F132" s="42"/>
      <c r="G132" s="42"/>
      <c r="H132" s="42"/>
      <c r="I132" s="44">
        <v>6.29</v>
      </c>
      <c r="J132" s="44">
        <v>680.0</v>
      </c>
      <c r="M132" s="44">
        <v>66.0</v>
      </c>
      <c r="N132" s="44">
        <v>645.0</v>
      </c>
    </row>
    <row r="133" ht="12.75" customHeight="1">
      <c r="A133" s="45">
        <v>0.08541666666666667</v>
      </c>
      <c r="B133" s="44">
        <v>692.0</v>
      </c>
      <c r="C133" s="23"/>
      <c r="D133" s="42"/>
      <c r="E133" s="42"/>
      <c r="F133" s="42"/>
      <c r="G133" s="42"/>
      <c r="H133" s="42"/>
      <c r="I133" s="44">
        <v>6.33</v>
      </c>
      <c r="J133" s="44">
        <v>683.0</v>
      </c>
      <c r="M133" s="44">
        <v>66.5</v>
      </c>
      <c r="N133" s="44">
        <v>648.0</v>
      </c>
    </row>
    <row r="134" ht="12.75" customHeight="1">
      <c r="A134" s="45">
        <v>0.08472222222222223</v>
      </c>
      <c r="B134" s="44">
        <v>700.0</v>
      </c>
      <c r="C134" s="23"/>
      <c r="D134" s="42"/>
      <c r="E134" s="42"/>
      <c r="F134" s="42"/>
      <c r="G134" s="42"/>
      <c r="H134" s="42"/>
      <c r="I134" s="44">
        <v>6.37</v>
      </c>
      <c r="J134" s="44">
        <v>687.0</v>
      </c>
      <c r="M134" s="44">
        <v>67.0</v>
      </c>
      <c r="N134" s="44">
        <v>651.0</v>
      </c>
    </row>
    <row r="135" ht="12.75" customHeight="1">
      <c r="A135" s="45">
        <v>0.08402777777777778</v>
      </c>
      <c r="B135" s="44">
        <v>709.0</v>
      </c>
      <c r="C135" s="23"/>
      <c r="D135" s="42"/>
      <c r="E135" s="42"/>
      <c r="F135" s="42"/>
      <c r="G135" s="42"/>
      <c r="H135" s="42"/>
      <c r="I135" s="44">
        <v>6.41</v>
      </c>
      <c r="J135" s="44">
        <v>691.0</v>
      </c>
      <c r="M135" s="44">
        <v>67.5</v>
      </c>
      <c r="N135" s="44">
        <v>654.0</v>
      </c>
    </row>
    <row r="136" ht="12.75" customHeight="1">
      <c r="A136" s="45">
        <v>0.08333333333333333</v>
      </c>
      <c r="B136" s="44">
        <v>717.0</v>
      </c>
      <c r="C136" s="23"/>
      <c r="D136" s="42"/>
      <c r="E136" s="42"/>
      <c r="F136" s="42"/>
      <c r="G136" s="42"/>
      <c r="H136" s="42"/>
      <c r="I136" s="44">
        <v>6.45</v>
      </c>
      <c r="J136" s="44">
        <v>695.0</v>
      </c>
      <c r="M136" s="44">
        <v>68.0</v>
      </c>
      <c r="N136" s="44">
        <v>657.0</v>
      </c>
    </row>
    <row r="137" ht="12.75" customHeight="1">
      <c r="A137" s="23"/>
      <c r="B137" s="23"/>
      <c r="C137" s="23"/>
      <c r="D137" s="42"/>
      <c r="E137" s="42"/>
      <c r="F137" s="42"/>
      <c r="G137" s="42"/>
      <c r="H137" s="42"/>
      <c r="I137" s="44">
        <v>6.49</v>
      </c>
      <c r="J137" s="44">
        <v>699.0</v>
      </c>
      <c r="M137" s="44">
        <v>68.5</v>
      </c>
      <c r="N137" s="44">
        <v>660.0</v>
      </c>
    </row>
    <row r="138" ht="12.75" customHeight="1">
      <c r="A138" s="23"/>
      <c r="B138" s="23"/>
      <c r="C138" s="23"/>
      <c r="D138" s="42"/>
      <c r="E138" s="42"/>
      <c r="F138" s="42"/>
      <c r="G138" s="42"/>
      <c r="H138" s="42"/>
      <c r="I138" s="44">
        <v>6.53</v>
      </c>
      <c r="J138" s="44">
        <v>702.0</v>
      </c>
      <c r="M138" s="44">
        <v>69.0</v>
      </c>
      <c r="N138" s="44">
        <v>663.0</v>
      </c>
    </row>
    <row r="139" ht="12.75" customHeight="1">
      <c r="A139" s="23"/>
      <c r="B139" s="23"/>
      <c r="C139" s="23"/>
      <c r="D139" s="42"/>
      <c r="E139" s="42"/>
      <c r="F139" s="42"/>
      <c r="G139" s="42"/>
      <c r="H139" s="42"/>
      <c r="I139" s="44">
        <v>6.57</v>
      </c>
      <c r="J139" s="44">
        <v>706.0</v>
      </c>
      <c r="M139" s="44">
        <v>69.5</v>
      </c>
      <c r="N139" s="44">
        <v>666.0</v>
      </c>
    </row>
    <row r="140" ht="12.75" customHeight="1">
      <c r="A140" s="23"/>
      <c r="B140" s="23"/>
      <c r="C140" s="23"/>
      <c r="D140" s="42"/>
      <c r="E140" s="42"/>
      <c r="F140" s="42"/>
      <c r="G140" s="42"/>
      <c r="H140" s="42"/>
      <c r="I140" s="44">
        <v>6.61</v>
      </c>
      <c r="J140" s="44">
        <v>710.0</v>
      </c>
      <c r="M140" s="44">
        <v>70.0</v>
      </c>
      <c r="N140" s="44">
        <v>669.0</v>
      </c>
    </row>
    <row r="141" ht="12.75" customHeight="1">
      <c r="A141" s="23"/>
      <c r="B141" s="23"/>
      <c r="C141" s="23"/>
      <c r="D141" s="42"/>
      <c r="E141" s="42"/>
      <c r="F141" s="42"/>
      <c r="G141" s="42"/>
      <c r="H141" s="42"/>
      <c r="I141" s="44">
        <v>6.65</v>
      </c>
      <c r="J141" s="44">
        <v>714.0</v>
      </c>
      <c r="M141" s="44">
        <v>70.5</v>
      </c>
      <c r="N141" s="44">
        <v>671.0</v>
      </c>
    </row>
    <row r="142" ht="12.75" customHeight="1">
      <c r="A142" s="23"/>
      <c r="B142" s="23"/>
      <c r="C142" s="23"/>
      <c r="D142" s="42"/>
      <c r="E142" s="42"/>
      <c r="F142" s="42"/>
      <c r="G142" s="42"/>
      <c r="H142" s="42"/>
      <c r="I142" s="44">
        <v>6.69</v>
      </c>
      <c r="J142" s="44">
        <v>717.0</v>
      </c>
      <c r="M142" s="44">
        <v>71.0</v>
      </c>
      <c r="N142" s="44">
        <v>674.0</v>
      </c>
    </row>
    <row r="143" ht="12.75" customHeight="1">
      <c r="A143" s="23"/>
      <c r="B143" s="23"/>
      <c r="C143" s="23"/>
      <c r="D143" s="42"/>
      <c r="E143" s="42"/>
      <c r="F143" s="42"/>
      <c r="G143" s="42"/>
      <c r="H143" s="42"/>
      <c r="I143" s="44">
        <v>6.73</v>
      </c>
      <c r="J143" s="44">
        <v>721.0</v>
      </c>
      <c r="M143" s="44">
        <v>71.5</v>
      </c>
      <c r="N143" s="44">
        <v>677.0</v>
      </c>
    </row>
    <row r="144" ht="12.75" customHeight="1">
      <c r="A144" s="23"/>
      <c r="B144" s="23"/>
      <c r="C144" s="23"/>
      <c r="D144" s="42"/>
      <c r="E144" s="42"/>
      <c r="F144" s="42"/>
      <c r="G144" s="42"/>
      <c r="H144" s="42"/>
      <c r="I144" s="44">
        <v>6.77</v>
      </c>
      <c r="J144" s="44">
        <v>725.0</v>
      </c>
      <c r="M144" s="44">
        <v>72.0</v>
      </c>
      <c r="N144" s="44">
        <v>680.0</v>
      </c>
    </row>
    <row r="145" ht="12.75" customHeight="1">
      <c r="A145" s="23"/>
      <c r="B145" s="23"/>
      <c r="C145" s="23"/>
      <c r="D145" s="42"/>
      <c r="E145" s="42"/>
      <c r="F145" s="42"/>
      <c r="G145" s="42"/>
      <c r="H145" s="42"/>
      <c r="I145" s="44">
        <v>6.81</v>
      </c>
      <c r="J145" s="44">
        <v>728.0</v>
      </c>
      <c r="M145" s="44">
        <v>72.5</v>
      </c>
      <c r="N145" s="44">
        <v>683.0</v>
      </c>
    </row>
    <row r="146" ht="12.75" customHeight="1">
      <c r="A146" s="23"/>
      <c r="B146" s="23"/>
      <c r="C146" s="23"/>
      <c r="D146" s="42"/>
      <c r="E146" s="42"/>
      <c r="F146" s="42"/>
      <c r="G146" s="42"/>
      <c r="H146" s="42"/>
      <c r="I146" s="23"/>
      <c r="M146" s="44">
        <v>73.0</v>
      </c>
      <c r="N146" s="44">
        <v>686.0</v>
      </c>
    </row>
    <row r="147" ht="12.75" customHeight="1">
      <c r="A147" s="23"/>
      <c r="B147" s="23"/>
      <c r="C147" s="23"/>
      <c r="D147" s="42"/>
      <c r="E147" s="42"/>
      <c r="F147" s="42"/>
      <c r="G147" s="42"/>
      <c r="H147" s="42"/>
      <c r="I147" s="23"/>
      <c r="M147" s="44">
        <v>73.5</v>
      </c>
      <c r="N147" s="44">
        <v>688.0</v>
      </c>
    </row>
    <row r="148" ht="12.75" customHeight="1">
      <c r="A148" s="23"/>
      <c r="B148" s="23"/>
      <c r="C148" s="23"/>
      <c r="D148" s="42"/>
      <c r="E148" s="42"/>
      <c r="F148" s="42"/>
      <c r="G148" s="42"/>
      <c r="H148" s="42"/>
      <c r="I148" s="23"/>
      <c r="M148" s="44">
        <v>74.0</v>
      </c>
      <c r="N148" s="44">
        <v>691.0</v>
      </c>
    </row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F1"/>
    <mergeCell ref="A3:B3"/>
    <mergeCell ref="E3:F3"/>
    <mergeCell ref="I3:J3"/>
    <mergeCell ref="M3:N3"/>
  </mergeCells>
  <printOptions/>
  <pageMargins bottom="0.787401575" footer="0.0" header="0.0" left="0.7" right="0.7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2.75" customHeight="1">
      <c r="A1" s="44" t="s">
        <v>46</v>
      </c>
      <c r="B1" s="44">
        <v>10.0</v>
      </c>
      <c r="C1" s="44">
        <v>11.0</v>
      </c>
      <c r="D1" s="44">
        <v>12.0</v>
      </c>
      <c r="E1" s="44">
        <v>13.0</v>
      </c>
      <c r="F1" s="44">
        <v>14.0</v>
      </c>
      <c r="G1" s="44">
        <v>15.0</v>
      </c>
      <c r="H1" s="44">
        <v>16.0</v>
      </c>
      <c r="I1" s="44">
        <v>17.0</v>
      </c>
      <c r="J1" s="44">
        <v>18.0</v>
      </c>
    </row>
    <row r="2" ht="12.75" customHeight="1">
      <c r="A2" s="46">
        <v>1.0</v>
      </c>
      <c r="B2" s="47">
        <v>875.0</v>
      </c>
      <c r="C2" s="47">
        <v>975.0</v>
      </c>
      <c r="D2" s="47">
        <v>1075.0</v>
      </c>
      <c r="E2" s="47">
        <v>1150.0</v>
      </c>
      <c r="F2" s="47">
        <v>1225.0</v>
      </c>
      <c r="G2" s="47">
        <v>1325.0</v>
      </c>
      <c r="H2" s="47">
        <v>1425.0</v>
      </c>
      <c r="I2" s="47">
        <v>1500.0</v>
      </c>
      <c r="J2" s="47">
        <v>1575.0</v>
      </c>
    </row>
    <row r="3" ht="12.75" customHeight="1">
      <c r="A3" s="46">
        <v>1.1</v>
      </c>
      <c r="B3" s="47">
        <v>855.0</v>
      </c>
      <c r="C3" s="47">
        <v>955.0</v>
      </c>
      <c r="D3" s="47">
        <v>1055.0</v>
      </c>
      <c r="E3" s="47">
        <v>1130.0</v>
      </c>
      <c r="F3" s="47">
        <v>1205.0</v>
      </c>
      <c r="G3" s="47">
        <v>1305.0</v>
      </c>
      <c r="H3" s="47">
        <v>1405.0</v>
      </c>
      <c r="I3" s="47">
        <v>1480.0</v>
      </c>
      <c r="J3" s="47">
        <v>1555.0</v>
      </c>
    </row>
    <row r="4" ht="12.75" customHeight="1">
      <c r="A4" s="46">
        <v>1.2</v>
      </c>
      <c r="B4" s="47">
        <v>835.0</v>
      </c>
      <c r="C4" s="47">
        <v>935.0</v>
      </c>
      <c r="D4" s="47">
        <v>1035.0</v>
      </c>
      <c r="E4" s="47">
        <v>1110.0</v>
      </c>
      <c r="F4" s="47">
        <v>1185.0</v>
      </c>
      <c r="G4" s="47">
        <v>1285.0</v>
      </c>
      <c r="H4" s="47">
        <v>1385.0</v>
      </c>
      <c r="I4" s="47">
        <v>1460.0</v>
      </c>
      <c r="J4" s="47">
        <v>1535.0</v>
      </c>
    </row>
    <row r="5" ht="12.75" customHeight="1">
      <c r="A5" s="46">
        <v>1.3</v>
      </c>
      <c r="B5" s="47">
        <v>815.0</v>
      </c>
      <c r="C5" s="47">
        <v>915.0</v>
      </c>
      <c r="D5" s="47">
        <v>1015.0</v>
      </c>
      <c r="E5" s="47">
        <v>1090.0</v>
      </c>
      <c r="F5" s="47">
        <v>1165.0</v>
      </c>
      <c r="G5" s="47">
        <v>1265.0</v>
      </c>
      <c r="H5" s="47">
        <v>1365.0</v>
      </c>
      <c r="I5" s="47">
        <v>1440.0</v>
      </c>
      <c r="J5" s="47">
        <v>1515.0</v>
      </c>
    </row>
    <row r="6" ht="12.75" customHeight="1">
      <c r="A6" s="46">
        <v>1.4</v>
      </c>
      <c r="B6" s="47">
        <v>795.0</v>
      </c>
      <c r="C6" s="47">
        <v>895.0</v>
      </c>
      <c r="D6" s="47">
        <v>995.0</v>
      </c>
      <c r="E6" s="47">
        <v>1070.0</v>
      </c>
      <c r="F6" s="47">
        <v>1145.0</v>
      </c>
      <c r="G6" s="47">
        <v>1245.0</v>
      </c>
      <c r="H6" s="47">
        <v>1345.0</v>
      </c>
      <c r="I6" s="47">
        <v>1420.0</v>
      </c>
      <c r="J6" s="47">
        <v>1495.0</v>
      </c>
    </row>
    <row r="7" ht="12.75" customHeight="1">
      <c r="A7" s="46">
        <v>1.5</v>
      </c>
      <c r="B7" s="47">
        <v>775.0</v>
      </c>
      <c r="C7" s="47">
        <v>875.0</v>
      </c>
      <c r="D7" s="47">
        <v>975.0</v>
      </c>
      <c r="E7" s="47">
        <v>1050.0</v>
      </c>
      <c r="F7" s="47">
        <v>1125.0</v>
      </c>
      <c r="G7" s="47">
        <v>1225.0</v>
      </c>
      <c r="H7" s="47">
        <v>1325.0</v>
      </c>
      <c r="I7" s="47">
        <v>1400.0</v>
      </c>
      <c r="J7" s="47">
        <v>1475.0</v>
      </c>
    </row>
    <row r="8" ht="12.75" customHeight="1">
      <c r="A8" s="46">
        <v>1.6</v>
      </c>
      <c r="B8" s="47">
        <v>761.0</v>
      </c>
      <c r="C8" s="47">
        <v>855.0</v>
      </c>
      <c r="D8" s="47">
        <v>955.0</v>
      </c>
      <c r="E8" s="47">
        <v>1030.0</v>
      </c>
      <c r="F8" s="47">
        <v>1105.0</v>
      </c>
      <c r="G8" s="47">
        <v>1205.0</v>
      </c>
      <c r="H8" s="47">
        <v>1305.0</v>
      </c>
      <c r="I8" s="47">
        <v>1380.0</v>
      </c>
      <c r="J8" s="47">
        <v>1455.0</v>
      </c>
    </row>
    <row r="9" ht="12.75" customHeight="1">
      <c r="A9" s="46">
        <v>1.7</v>
      </c>
      <c r="B9" s="47">
        <v>747.0</v>
      </c>
      <c r="C9" s="47">
        <v>835.0</v>
      </c>
      <c r="D9" s="47">
        <v>935.0</v>
      </c>
      <c r="E9" s="47">
        <v>1010.0</v>
      </c>
      <c r="F9" s="47">
        <v>1085.0</v>
      </c>
      <c r="G9" s="47">
        <v>1185.0</v>
      </c>
      <c r="H9" s="47">
        <v>1285.0</v>
      </c>
      <c r="I9" s="47">
        <v>1360.0</v>
      </c>
      <c r="J9" s="47">
        <v>1435.0</v>
      </c>
    </row>
    <row r="10" ht="12.75" customHeight="1">
      <c r="A10" s="46">
        <v>1.8</v>
      </c>
      <c r="B10" s="47">
        <v>733.0</v>
      </c>
      <c r="C10" s="47">
        <v>815.0</v>
      </c>
      <c r="D10" s="47">
        <v>915.0</v>
      </c>
      <c r="E10" s="47">
        <v>990.0</v>
      </c>
      <c r="F10" s="47">
        <v>1065.0</v>
      </c>
      <c r="G10" s="47">
        <v>1165.0</v>
      </c>
      <c r="H10" s="47">
        <v>1265.0</v>
      </c>
      <c r="I10" s="47">
        <v>1340.0</v>
      </c>
      <c r="J10" s="47">
        <v>1415.0</v>
      </c>
    </row>
    <row r="11" ht="12.75" customHeight="1">
      <c r="A11" s="46">
        <v>1.9</v>
      </c>
      <c r="B11" s="47">
        <v>719.0</v>
      </c>
      <c r="C11" s="47">
        <v>795.0</v>
      </c>
      <c r="D11" s="47">
        <v>895.0</v>
      </c>
      <c r="E11" s="47">
        <v>970.0</v>
      </c>
      <c r="F11" s="47">
        <v>1045.0</v>
      </c>
      <c r="G11" s="47">
        <v>1145.0</v>
      </c>
      <c r="H11" s="47">
        <v>1245.0</v>
      </c>
      <c r="I11" s="47">
        <v>1320.0</v>
      </c>
      <c r="J11" s="47">
        <v>1395.0</v>
      </c>
    </row>
    <row r="12" ht="12.75" customHeight="1">
      <c r="A12" s="46">
        <v>2.0</v>
      </c>
      <c r="B12" s="47">
        <v>705.0</v>
      </c>
      <c r="C12" s="47">
        <v>780.0</v>
      </c>
      <c r="D12" s="47">
        <v>875.0</v>
      </c>
      <c r="E12" s="47">
        <v>950.0</v>
      </c>
      <c r="F12" s="47">
        <v>1025.0</v>
      </c>
      <c r="G12" s="47">
        <v>1125.0</v>
      </c>
      <c r="H12" s="47">
        <v>1225.0</v>
      </c>
      <c r="I12" s="47">
        <v>1300.0</v>
      </c>
      <c r="J12" s="47">
        <v>1375.0</v>
      </c>
    </row>
    <row r="13" ht="12.75" customHeight="1">
      <c r="A13" s="46">
        <v>2.1</v>
      </c>
      <c r="B13" s="47">
        <v>690.0</v>
      </c>
      <c r="C13" s="47">
        <v>765.0</v>
      </c>
      <c r="D13" s="47">
        <v>858.0</v>
      </c>
      <c r="E13" s="47">
        <v>933.0</v>
      </c>
      <c r="F13" s="47">
        <v>1008.0</v>
      </c>
      <c r="G13" s="47">
        <v>1100.0</v>
      </c>
      <c r="H13" s="47">
        <v>1200.0</v>
      </c>
      <c r="I13" s="47">
        <v>1275.0</v>
      </c>
      <c r="J13" s="47">
        <v>1350.0</v>
      </c>
    </row>
    <row r="14" ht="12.75" customHeight="1">
      <c r="A14" s="46">
        <v>2.2</v>
      </c>
      <c r="B14" s="47">
        <v>675.0</v>
      </c>
      <c r="C14" s="47">
        <v>750.0</v>
      </c>
      <c r="D14" s="47">
        <v>840.0</v>
      </c>
      <c r="E14" s="47">
        <v>915.0</v>
      </c>
      <c r="F14" s="47">
        <v>990.0</v>
      </c>
      <c r="G14" s="47">
        <v>1075.0</v>
      </c>
      <c r="H14" s="47">
        <v>1175.0</v>
      </c>
      <c r="I14" s="47">
        <v>1250.0</v>
      </c>
      <c r="J14" s="47">
        <v>1325.0</v>
      </c>
    </row>
    <row r="15" ht="12.75" customHeight="1">
      <c r="A15" s="46">
        <v>2.3</v>
      </c>
      <c r="B15" s="47">
        <v>660.0</v>
      </c>
      <c r="C15" s="47">
        <v>735.0</v>
      </c>
      <c r="D15" s="47">
        <v>822.0</v>
      </c>
      <c r="E15" s="47">
        <v>897.0</v>
      </c>
      <c r="F15" s="47">
        <v>972.0</v>
      </c>
      <c r="G15" s="47">
        <v>1055.0</v>
      </c>
      <c r="H15" s="47">
        <v>1150.0</v>
      </c>
      <c r="I15" s="47">
        <v>1225.0</v>
      </c>
      <c r="J15" s="47">
        <v>1300.0</v>
      </c>
    </row>
    <row r="16" ht="12.75" customHeight="1">
      <c r="A16" s="46">
        <v>2.4</v>
      </c>
      <c r="B16" s="47">
        <v>645.0</v>
      </c>
      <c r="C16" s="47">
        <v>720.0</v>
      </c>
      <c r="D16" s="47">
        <v>804.0</v>
      </c>
      <c r="E16" s="47">
        <v>879.0</v>
      </c>
      <c r="F16" s="47">
        <v>954.0</v>
      </c>
      <c r="G16" s="47">
        <v>1035.0</v>
      </c>
      <c r="H16" s="47">
        <v>1125.0</v>
      </c>
      <c r="I16" s="47">
        <v>1200.0</v>
      </c>
      <c r="J16" s="47">
        <v>1275.0</v>
      </c>
    </row>
    <row r="17" ht="12.75" customHeight="1">
      <c r="A17" s="46">
        <v>2.5</v>
      </c>
      <c r="B17" s="47">
        <v>630.0</v>
      </c>
      <c r="C17" s="47">
        <v>705.0</v>
      </c>
      <c r="D17" s="47">
        <v>786.0</v>
      </c>
      <c r="E17" s="47">
        <v>861.0</v>
      </c>
      <c r="F17" s="47">
        <v>936.0</v>
      </c>
      <c r="G17" s="47">
        <v>1015.0</v>
      </c>
      <c r="H17" s="47">
        <v>1100.0</v>
      </c>
      <c r="I17" s="47">
        <v>1175.0</v>
      </c>
      <c r="J17" s="47">
        <v>1250.0</v>
      </c>
    </row>
    <row r="18" ht="12.75" customHeight="1">
      <c r="A18" s="46">
        <v>2.6</v>
      </c>
      <c r="B18" s="47">
        <v>615.0</v>
      </c>
      <c r="C18" s="47">
        <v>690.0</v>
      </c>
      <c r="D18" s="47">
        <v>768.0</v>
      </c>
      <c r="E18" s="47">
        <v>843.0</v>
      </c>
      <c r="F18" s="47">
        <v>918.0</v>
      </c>
      <c r="G18" s="47">
        <v>995.0</v>
      </c>
      <c r="H18" s="47">
        <v>1075.0</v>
      </c>
      <c r="I18" s="47">
        <v>1150.0</v>
      </c>
      <c r="J18" s="47">
        <v>1225.0</v>
      </c>
    </row>
    <row r="19" ht="12.75" customHeight="1">
      <c r="A19" s="46">
        <v>2.7</v>
      </c>
      <c r="B19" s="47">
        <v>600.0</v>
      </c>
      <c r="C19" s="47">
        <v>675.0</v>
      </c>
      <c r="D19" s="47">
        <v>750.0</v>
      </c>
      <c r="E19" s="47">
        <v>825.0</v>
      </c>
      <c r="F19" s="47">
        <v>900.0</v>
      </c>
      <c r="G19" s="47">
        <v>975.0</v>
      </c>
      <c r="H19" s="47">
        <v>1050.0</v>
      </c>
      <c r="I19" s="47">
        <v>1125.0</v>
      </c>
      <c r="J19" s="47">
        <v>1200.0</v>
      </c>
    </row>
    <row r="20" ht="12.75" customHeight="1">
      <c r="A20" s="46">
        <v>2.8</v>
      </c>
      <c r="B20" s="47">
        <v>585.0</v>
      </c>
      <c r="C20" s="47">
        <v>660.0</v>
      </c>
      <c r="D20" s="47">
        <v>735.0</v>
      </c>
      <c r="E20" s="47">
        <v>810.0</v>
      </c>
      <c r="F20" s="47">
        <v>885.0</v>
      </c>
      <c r="G20" s="47">
        <v>960.0</v>
      </c>
      <c r="H20" s="47">
        <v>1035.0</v>
      </c>
      <c r="I20" s="47">
        <v>1110.0</v>
      </c>
      <c r="J20" s="47">
        <v>1185.0</v>
      </c>
    </row>
    <row r="21" ht="12.75" customHeight="1">
      <c r="A21" s="46">
        <v>2.9</v>
      </c>
      <c r="B21" s="47">
        <v>570.0</v>
      </c>
      <c r="C21" s="47">
        <v>645.0</v>
      </c>
      <c r="D21" s="47">
        <v>720.0</v>
      </c>
      <c r="E21" s="47">
        <v>795.0</v>
      </c>
      <c r="F21" s="47">
        <v>870.0</v>
      </c>
      <c r="G21" s="47">
        <v>945.0</v>
      </c>
      <c r="H21" s="47">
        <v>1020.0</v>
      </c>
      <c r="I21" s="47">
        <v>1095.0</v>
      </c>
      <c r="J21" s="47">
        <v>1170.0</v>
      </c>
    </row>
    <row r="22" ht="12.75" customHeight="1">
      <c r="A22" s="46">
        <v>3.0</v>
      </c>
      <c r="B22" s="47">
        <v>555.0</v>
      </c>
      <c r="C22" s="47">
        <v>630.0</v>
      </c>
      <c r="D22" s="47">
        <v>705.0</v>
      </c>
      <c r="E22" s="47">
        <v>780.0</v>
      </c>
      <c r="F22" s="47">
        <v>855.0</v>
      </c>
      <c r="G22" s="47">
        <v>930.0</v>
      </c>
      <c r="H22" s="47">
        <v>1005.0</v>
      </c>
      <c r="I22" s="47">
        <v>1080.0</v>
      </c>
      <c r="J22" s="47">
        <v>1155.0</v>
      </c>
    </row>
    <row r="23" ht="12.75" customHeight="1">
      <c r="A23" s="46">
        <v>3.1</v>
      </c>
      <c r="B23" s="47">
        <v>540.0</v>
      </c>
      <c r="C23" s="47">
        <v>615.0</v>
      </c>
      <c r="D23" s="47">
        <v>690.0</v>
      </c>
      <c r="E23" s="47">
        <v>765.0</v>
      </c>
      <c r="F23" s="47">
        <v>840.0</v>
      </c>
      <c r="G23" s="47">
        <v>915.0</v>
      </c>
      <c r="H23" s="47">
        <v>990.0</v>
      </c>
      <c r="I23" s="47">
        <v>1065.0</v>
      </c>
      <c r="J23" s="47">
        <v>1140.0</v>
      </c>
    </row>
    <row r="24" ht="12.75" customHeight="1">
      <c r="A24" s="46">
        <v>3.2</v>
      </c>
      <c r="B24" s="47">
        <v>525.0</v>
      </c>
      <c r="C24" s="47">
        <v>600.0</v>
      </c>
      <c r="D24" s="47">
        <v>675.0</v>
      </c>
      <c r="E24" s="47">
        <v>750.0</v>
      </c>
      <c r="F24" s="47">
        <v>825.0</v>
      </c>
      <c r="G24" s="47">
        <v>900.0</v>
      </c>
      <c r="H24" s="47">
        <v>975.0</v>
      </c>
      <c r="I24" s="47">
        <v>1050.0</v>
      </c>
      <c r="J24" s="47">
        <v>1125.0</v>
      </c>
    </row>
    <row r="25" ht="12.75" customHeight="1">
      <c r="A25" s="46">
        <v>3.3</v>
      </c>
      <c r="B25" s="47">
        <v>510.0</v>
      </c>
      <c r="C25" s="47">
        <v>585.0</v>
      </c>
      <c r="D25" s="47">
        <v>660.0</v>
      </c>
      <c r="E25" s="47">
        <v>735.0</v>
      </c>
      <c r="F25" s="47">
        <v>810.0</v>
      </c>
      <c r="G25" s="47">
        <v>885.0</v>
      </c>
      <c r="H25" s="47">
        <v>960.0</v>
      </c>
      <c r="I25" s="47">
        <v>1035.0</v>
      </c>
      <c r="J25" s="47">
        <v>1110.0</v>
      </c>
    </row>
    <row r="26" ht="12.75" customHeight="1">
      <c r="A26" s="46">
        <v>3.4</v>
      </c>
      <c r="B26" s="47">
        <v>495.0</v>
      </c>
      <c r="C26" s="47">
        <v>570.0</v>
      </c>
      <c r="D26" s="47">
        <v>645.0</v>
      </c>
      <c r="E26" s="47">
        <v>720.0</v>
      </c>
      <c r="F26" s="47">
        <v>795.0</v>
      </c>
      <c r="G26" s="47">
        <v>870.0</v>
      </c>
      <c r="H26" s="47">
        <v>945.0</v>
      </c>
      <c r="I26" s="47">
        <v>1020.0</v>
      </c>
      <c r="J26" s="47">
        <v>1095.0</v>
      </c>
    </row>
    <row r="27" ht="12.75" customHeight="1">
      <c r="A27" s="46">
        <v>3.5</v>
      </c>
      <c r="B27" s="47">
        <v>480.0</v>
      </c>
      <c r="C27" s="47">
        <v>555.0</v>
      </c>
      <c r="D27" s="47">
        <v>630.0</v>
      </c>
      <c r="E27" s="47">
        <v>705.0</v>
      </c>
      <c r="F27" s="47">
        <v>780.0</v>
      </c>
      <c r="G27" s="47">
        <v>855.0</v>
      </c>
      <c r="H27" s="47">
        <v>930.0</v>
      </c>
      <c r="I27" s="47">
        <v>1005.0</v>
      </c>
      <c r="J27" s="47">
        <v>1080.0</v>
      </c>
    </row>
    <row r="28" ht="12.75" customHeight="1">
      <c r="A28" s="46">
        <v>3.6</v>
      </c>
      <c r="B28" s="47">
        <v>470.0</v>
      </c>
      <c r="C28" s="47">
        <v>545.0</v>
      </c>
      <c r="D28" s="47">
        <v>620.0</v>
      </c>
      <c r="E28" s="47">
        <v>695.0</v>
      </c>
      <c r="F28" s="47">
        <v>770.0</v>
      </c>
      <c r="G28" s="47">
        <v>845.0</v>
      </c>
      <c r="H28" s="47">
        <v>920.0</v>
      </c>
      <c r="I28" s="47">
        <v>995.0</v>
      </c>
      <c r="J28" s="47">
        <v>1070.0</v>
      </c>
    </row>
    <row r="29" ht="12.75" customHeight="1">
      <c r="A29" s="46">
        <v>3.7</v>
      </c>
      <c r="B29" s="47">
        <v>460.0</v>
      </c>
      <c r="C29" s="47">
        <v>535.0</v>
      </c>
      <c r="D29" s="47">
        <v>610.0</v>
      </c>
      <c r="E29" s="47">
        <v>685.0</v>
      </c>
      <c r="F29" s="47">
        <v>760.0</v>
      </c>
      <c r="G29" s="47">
        <v>835.0</v>
      </c>
      <c r="H29" s="47">
        <v>910.0</v>
      </c>
      <c r="I29" s="47">
        <v>985.0</v>
      </c>
      <c r="J29" s="47">
        <v>1060.0</v>
      </c>
    </row>
    <row r="30" ht="12.75" customHeight="1">
      <c r="A30" s="46">
        <v>3.8</v>
      </c>
      <c r="B30" s="47">
        <v>450.0</v>
      </c>
      <c r="C30" s="47">
        <v>525.0</v>
      </c>
      <c r="D30" s="47">
        <v>600.0</v>
      </c>
      <c r="E30" s="47">
        <v>675.0</v>
      </c>
      <c r="F30" s="47">
        <v>750.0</v>
      </c>
      <c r="G30" s="47">
        <v>825.0</v>
      </c>
      <c r="H30" s="47">
        <v>900.0</v>
      </c>
      <c r="I30" s="47">
        <v>975.0</v>
      </c>
      <c r="J30" s="47">
        <v>1050.0</v>
      </c>
    </row>
    <row r="31" ht="12.75" customHeight="1">
      <c r="A31" s="46">
        <v>3.9</v>
      </c>
      <c r="B31" s="47">
        <v>440.0</v>
      </c>
      <c r="C31" s="47">
        <v>515.0</v>
      </c>
      <c r="D31" s="47">
        <v>590.0</v>
      </c>
      <c r="E31" s="47">
        <v>665.0</v>
      </c>
      <c r="F31" s="47">
        <v>740.0</v>
      </c>
      <c r="G31" s="47">
        <v>815.0</v>
      </c>
      <c r="H31" s="47">
        <v>890.0</v>
      </c>
      <c r="I31" s="47">
        <v>965.0</v>
      </c>
      <c r="J31" s="47">
        <v>1040.0</v>
      </c>
    </row>
    <row r="32" ht="12.75" customHeight="1">
      <c r="A32" s="46">
        <v>4.0</v>
      </c>
      <c r="B32" s="47">
        <v>430.0</v>
      </c>
      <c r="C32" s="47">
        <v>505.0</v>
      </c>
      <c r="D32" s="47">
        <v>580.0</v>
      </c>
      <c r="E32" s="47">
        <v>655.0</v>
      </c>
      <c r="F32" s="47">
        <v>730.0</v>
      </c>
      <c r="G32" s="47">
        <v>805.0</v>
      </c>
      <c r="H32" s="47">
        <v>880.0</v>
      </c>
      <c r="I32" s="47">
        <v>955.0</v>
      </c>
      <c r="J32" s="47">
        <v>1030.0</v>
      </c>
    </row>
    <row r="33" ht="12.75" customHeight="1">
      <c r="A33" s="46">
        <v>4.1</v>
      </c>
      <c r="B33" s="47">
        <v>420.0</v>
      </c>
      <c r="C33" s="47">
        <v>495.0</v>
      </c>
      <c r="D33" s="47">
        <v>570.0</v>
      </c>
      <c r="E33" s="47">
        <v>645.0</v>
      </c>
      <c r="F33" s="47">
        <v>720.0</v>
      </c>
      <c r="G33" s="47">
        <v>795.0</v>
      </c>
      <c r="H33" s="47">
        <v>870.0</v>
      </c>
      <c r="I33" s="47">
        <v>945.0</v>
      </c>
      <c r="J33" s="47">
        <v>1020.0</v>
      </c>
    </row>
    <row r="34" ht="12.75" customHeight="1">
      <c r="A34" s="46">
        <v>4.2</v>
      </c>
      <c r="B34" s="47">
        <v>410.0</v>
      </c>
      <c r="C34" s="47">
        <v>485.0</v>
      </c>
      <c r="D34" s="47">
        <v>560.0</v>
      </c>
      <c r="E34" s="47">
        <v>635.0</v>
      </c>
      <c r="F34" s="47">
        <v>710.0</v>
      </c>
      <c r="G34" s="47">
        <v>785.0</v>
      </c>
      <c r="H34" s="47">
        <v>860.0</v>
      </c>
      <c r="I34" s="47">
        <v>935.0</v>
      </c>
      <c r="J34" s="47">
        <v>1010.0</v>
      </c>
    </row>
    <row r="35" ht="12.75" customHeight="1">
      <c r="A35" s="46">
        <v>4.3</v>
      </c>
      <c r="B35" s="47">
        <v>400.0</v>
      </c>
      <c r="C35" s="47">
        <v>475.0</v>
      </c>
      <c r="D35" s="47">
        <v>550.0</v>
      </c>
      <c r="E35" s="47">
        <v>625.0</v>
      </c>
      <c r="F35" s="47">
        <v>700.0</v>
      </c>
      <c r="G35" s="47">
        <v>775.0</v>
      </c>
      <c r="H35" s="47">
        <v>850.0</v>
      </c>
      <c r="I35" s="47">
        <v>925.0</v>
      </c>
      <c r="J35" s="47">
        <v>1000.0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7" right="0.7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5.71"/>
    <col customWidth="1" min="4" max="4" width="25.43"/>
    <col customWidth="1" min="5" max="5" width="26.14"/>
    <col customWidth="1" min="6" max="6" width="26.86"/>
    <col customWidth="1" min="7" max="26" width="10.71"/>
  </cols>
  <sheetData>
    <row r="1" ht="12.75" customHeight="1">
      <c r="C1" s="41" t="s">
        <v>47</v>
      </c>
      <c r="H1" s="48" t="s">
        <v>48</v>
      </c>
      <c r="I1" s="48" t="s">
        <v>49</v>
      </c>
      <c r="J1" s="48" t="s">
        <v>50</v>
      </c>
      <c r="K1" s="48" t="s">
        <v>51</v>
      </c>
    </row>
    <row r="2" ht="12.75" customHeight="1"/>
    <row r="3" ht="12.75" customHeight="1">
      <c r="B3" s="49"/>
      <c r="C3" s="24"/>
    </row>
    <row r="4" ht="12.75" customHeight="1">
      <c r="B4" s="49"/>
      <c r="C4" s="24"/>
      <c r="H4" s="48" t="s">
        <v>52</v>
      </c>
      <c r="I4" s="48">
        <v>0.0</v>
      </c>
      <c r="J4" s="48">
        <v>625.0</v>
      </c>
      <c r="K4" s="48">
        <v>825.0</v>
      </c>
    </row>
    <row r="5" ht="12.75" customHeight="1">
      <c r="B5" s="49"/>
      <c r="C5" s="24"/>
      <c r="H5" s="48" t="s">
        <v>53</v>
      </c>
      <c r="I5" s="48">
        <v>0.0</v>
      </c>
      <c r="J5" s="48">
        <v>700.0</v>
      </c>
      <c r="K5" s="48">
        <v>900.0</v>
      </c>
    </row>
    <row r="6" ht="12.75" customHeight="1">
      <c r="B6" s="49"/>
      <c r="C6" s="23"/>
      <c r="H6" s="48" t="s">
        <v>54</v>
      </c>
      <c r="I6" s="48">
        <v>0.0</v>
      </c>
      <c r="J6" s="48">
        <v>775.0</v>
      </c>
      <c r="K6" s="48">
        <v>975.0</v>
      </c>
    </row>
    <row r="7" ht="12.75" customHeight="1">
      <c r="B7" s="49"/>
      <c r="C7" s="50"/>
    </row>
    <row r="8" ht="12.75" customHeight="1">
      <c r="B8" s="49"/>
      <c r="C8" s="24"/>
    </row>
    <row r="9" ht="12.75" customHeight="1">
      <c r="B9" s="49"/>
      <c r="C9" s="24"/>
      <c r="H9" s="48" t="s">
        <v>55</v>
      </c>
      <c r="I9" s="48">
        <v>0.0</v>
      </c>
      <c r="J9" s="48">
        <v>600.0</v>
      </c>
      <c r="K9" s="48">
        <v>775.0</v>
      </c>
    </row>
    <row r="10" ht="12.75" customHeight="1">
      <c r="B10" s="49"/>
      <c r="C10" s="24"/>
      <c r="H10" s="48" t="s">
        <v>56</v>
      </c>
      <c r="I10" s="48">
        <v>0.0</v>
      </c>
      <c r="J10" s="48">
        <v>675.0</v>
      </c>
      <c r="K10" s="48">
        <v>900.0</v>
      </c>
    </row>
    <row r="11" ht="12.75" customHeight="1">
      <c r="B11" s="49"/>
      <c r="C11" s="24"/>
      <c r="H11" s="48" t="s">
        <v>57</v>
      </c>
      <c r="I11" s="48">
        <v>0.0</v>
      </c>
      <c r="J11" s="48">
        <v>750.0</v>
      </c>
      <c r="K11" s="48">
        <v>975.0</v>
      </c>
    </row>
    <row r="12" ht="12.75" customHeight="1">
      <c r="B12" s="49"/>
      <c r="C12" s="24"/>
      <c r="H12" s="48" t="s">
        <v>58</v>
      </c>
      <c r="I12" s="48">
        <v>0.0</v>
      </c>
      <c r="J12" s="48">
        <v>850.0</v>
      </c>
      <c r="K12" s="48">
        <v>1025.0</v>
      </c>
    </row>
    <row r="13" ht="12.75" customHeight="1">
      <c r="H13" s="48" t="s">
        <v>59</v>
      </c>
      <c r="I13" s="48">
        <v>0.0</v>
      </c>
      <c r="J13" s="48">
        <v>900.0</v>
      </c>
      <c r="K13" s="48">
        <v>1050.0</v>
      </c>
    </row>
    <row r="14" ht="12.75" customHeight="1">
      <c r="C14" s="51" t="s">
        <v>7</v>
      </c>
      <c r="D14" s="52" t="s">
        <v>9</v>
      </c>
      <c r="E14" s="52" t="s">
        <v>11</v>
      </c>
      <c r="F14" s="52" t="s">
        <v>13</v>
      </c>
      <c r="H14" s="48" t="s">
        <v>60</v>
      </c>
      <c r="I14" s="48">
        <v>0.0</v>
      </c>
      <c r="J14" s="48">
        <v>950.0</v>
      </c>
      <c r="K14" s="48">
        <v>1075.0</v>
      </c>
    </row>
    <row r="15" ht="12.75" customHeight="1">
      <c r="B15" s="49" t="s">
        <v>61</v>
      </c>
      <c r="C15" s="53" t="s">
        <v>62</v>
      </c>
      <c r="D15" s="53" t="s">
        <v>63</v>
      </c>
      <c r="E15" s="53" t="s">
        <v>64</v>
      </c>
      <c r="F15" s="53" t="s">
        <v>65</v>
      </c>
      <c r="H15" s="48" t="s">
        <v>66</v>
      </c>
      <c r="I15" s="48">
        <v>0.0</v>
      </c>
      <c r="J15" s="48">
        <v>1000.0</v>
      </c>
      <c r="K15" s="48">
        <v>1100.0</v>
      </c>
    </row>
    <row r="16" ht="12.75" customHeight="1">
      <c r="B16" s="49" t="s">
        <v>67</v>
      </c>
      <c r="C16" s="53" t="s">
        <v>68</v>
      </c>
      <c r="D16" s="53" t="s">
        <v>69</v>
      </c>
      <c r="E16" s="53" t="s">
        <v>70</v>
      </c>
      <c r="F16" s="53" t="s">
        <v>71</v>
      </c>
    </row>
    <row r="17" ht="12.75" customHeight="1"/>
    <row r="18" ht="12.75" customHeight="1">
      <c r="H18" s="48" t="s">
        <v>72</v>
      </c>
      <c r="I18" s="48">
        <v>0.0</v>
      </c>
      <c r="J18" s="48">
        <v>825.0</v>
      </c>
      <c r="K18" s="48">
        <v>1075.0</v>
      </c>
    </row>
    <row r="19" ht="12.75" customHeight="1">
      <c r="H19" s="48" t="s">
        <v>73</v>
      </c>
      <c r="I19" s="48">
        <v>0.0</v>
      </c>
      <c r="J19" s="48">
        <v>900.0</v>
      </c>
      <c r="K19" s="48">
        <v>1175.0</v>
      </c>
    </row>
    <row r="20" ht="12.75" customHeight="1">
      <c r="H20" s="48" t="s">
        <v>74</v>
      </c>
      <c r="I20" s="48">
        <v>0.0</v>
      </c>
      <c r="J20" s="48">
        <v>975.0</v>
      </c>
      <c r="K20" s="48">
        <v>1275.0</v>
      </c>
    </row>
    <row r="21" ht="12.75" customHeight="1">
      <c r="H21" s="48" t="s">
        <v>75</v>
      </c>
      <c r="I21" s="48">
        <v>0.0</v>
      </c>
      <c r="J21" s="48">
        <v>1050.0</v>
      </c>
      <c r="K21" s="48">
        <v>1375.0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1:G1"/>
  </mergeCells>
  <printOptions horizontalCentered="1" verticalCentered="1"/>
  <pageMargins bottom="0.5905511811023623" footer="0.0" header="0.0" left="0.5905511811023623" right="0.5905511811023623" top="0.5905511811023623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2.75" customHeight="1">
      <c r="A1" s="44" t="s">
        <v>46</v>
      </c>
      <c r="B1" s="44">
        <v>10.0</v>
      </c>
      <c r="C1" s="44">
        <v>11.0</v>
      </c>
      <c r="D1" s="44">
        <v>12.0</v>
      </c>
      <c r="E1" s="44">
        <v>13.0</v>
      </c>
      <c r="F1" s="44">
        <v>14.0</v>
      </c>
      <c r="G1" s="44">
        <v>15.0</v>
      </c>
      <c r="H1" s="44">
        <v>16.0</v>
      </c>
      <c r="I1" s="44">
        <v>17.0</v>
      </c>
      <c r="J1" s="44">
        <v>18.0</v>
      </c>
    </row>
    <row r="2" ht="12.75" customHeight="1">
      <c r="A2" s="46">
        <v>1.0</v>
      </c>
      <c r="B2" s="47">
        <v>925.0</v>
      </c>
      <c r="C2" s="47">
        <v>1000.0</v>
      </c>
      <c r="D2" s="47">
        <v>1075.0</v>
      </c>
      <c r="E2" s="47">
        <v>1125.0</v>
      </c>
      <c r="F2" s="47">
        <v>1150.0</v>
      </c>
      <c r="G2" s="47">
        <v>1175.0</v>
      </c>
      <c r="H2" s="47">
        <v>1200.0</v>
      </c>
      <c r="I2" s="47">
        <v>1225.0</v>
      </c>
      <c r="J2" s="47">
        <v>1250.0</v>
      </c>
    </row>
    <row r="3" ht="12.75" customHeight="1">
      <c r="A3" s="46">
        <v>1.1</v>
      </c>
      <c r="B3" s="47">
        <v>905.0</v>
      </c>
      <c r="C3" s="47">
        <v>980.0</v>
      </c>
      <c r="D3" s="47">
        <v>1055.0</v>
      </c>
      <c r="E3" s="47">
        <v>1105.0</v>
      </c>
      <c r="F3" s="47">
        <v>1130.0</v>
      </c>
      <c r="G3" s="47">
        <v>1155.0</v>
      </c>
      <c r="H3" s="47">
        <v>1180.0</v>
      </c>
      <c r="I3" s="47">
        <v>1205.0</v>
      </c>
      <c r="J3" s="47">
        <v>1230.0</v>
      </c>
    </row>
    <row r="4" ht="12.75" customHeight="1">
      <c r="A4" s="46">
        <v>1.2</v>
      </c>
      <c r="B4" s="47">
        <v>885.0</v>
      </c>
      <c r="C4" s="47">
        <v>960.0</v>
      </c>
      <c r="D4" s="47">
        <v>1035.0</v>
      </c>
      <c r="E4" s="47">
        <v>1085.0</v>
      </c>
      <c r="F4" s="47">
        <v>1110.0</v>
      </c>
      <c r="G4" s="47">
        <v>1135.0</v>
      </c>
      <c r="H4" s="47">
        <v>1160.0</v>
      </c>
      <c r="I4" s="47">
        <v>1185.0</v>
      </c>
      <c r="J4" s="47">
        <v>1210.0</v>
      </c>
    </row>
    <row r="5" ht="12.75" customHeight="1">
      <c r="A5" s="46">
        <v>1.3</v>
      </c>
      <c r="B5" s="47">
        <v>865.0</v>
      </c>
      <c r="C5" s="47">
        <v>940.0</v>
      </c>
      <c r="D5" s="47">
        <v>1015.0</v>
      </c>
      <c r="E5" s="47">
        <v>1065.0</v>
      </c>
      <c r="F5" s="47">
        <v>1090.0</v>
      </c>
      <c r="G5" s="47">
        <v>1115.0</v>
      </c>
      <c r="H5" s="47">
        <v>1140.0</v>
      </c>
      <c r="I5" s="47">
        <v>1165.0</v>
      </c>
      <c r="J5" s="47">
        <v>1190.0</v>
      </c>
    </row>
    <row r="6" ht="12.75" customHeight="1">
      <c r="A6" s="46">
        <v>1.4</v>
      </c>
      <c r="B6" s="47">
        <v>845.0</v>
      </c>
      <c r="C6" s="47">
        <v>920.0</v>
      </c>
      <c r="D6" s="47">
        <v>995.0</v>
      </c>
      <c r="E6" s="47">
        <v>1045.0</v>
      </c>
      <c r="F6" s="47">
        <v>1070.0</v>
      </c>
      <c r="G6" s="47">
        <v>1095.0</v>
      </c>
      <c r="H6" s="47">
        <v>1120.0</v>
      </c>
      <c r="I6" s="47">
        <v>1145.0</v>
      </c>
      <c r="J6" s="47">
        <v>1170.0</v>
      </c>
    </row>
    <row r="7" ht="12.75" customHeight="1">
      <c r="A7" s="46">
        <v>1.5</v>
      </c>
      <c r="B7" s="47">
        <v>825.0</v>
      </c>
      <c r="C7" s="47">
        <v>900.0</v>
      </c>
      <c r="D7" s="47">
        <v>975.0</v>
      </c>
      <c r="E7" s="47">
        <v>1025.0</v>
      </c>
      <c r="F7" s="47">
        <v>1050.0</v>
      </c>
      <c r="G7" s="47">
        <v>1075.0</v>
      </c>
      <c r="H7" s="47">
        <v>1100.0</v>
      </c>
      <c r="I7" s="47">
        <v>1125.0</v>
      </c>
      <c r="J7" s="47">
        <v>1150.0</v>
      </c>
    </row>
    <row r="8" ht="12.75" customHeight="1">
      <c r="A8" s="46">
        <v>1.6</v>
      </c>
      <c r="B8" s="47">
        <v>805.0</v>
      </c>
      <c r="C8" s="47">
        <v>880.0</v>
      </c>
      <c r="D8" s="47">
        <v>955.0</v>
      </c>
      <c r="E8" s="47">
        <v>1005.0</v>
      </c>
      <c r="F8" s="47">
        <v>1030.0</v>
      </c>
      <c r="G8" s="47">
        <v>1055.0</v>
      </c>
      <c r="H8" s="47">
        <v>1080.0</v>
      </c>
      <c r="I8" s="47">
        <v>1105.0</v>
      </c>
      <c r="J8" s="47">
        <v>1130.0</v>
      </c>
    </row>
    <row r="9" ht="12.75" customHeight="1">
      <c r="A9" s="46">
        <v>1.7</v>
      </c>
      <c r="B9" s="47">
        <v>785.0</v>
      </c>
      <c r="C9" s="47">
        <v>860.0</v>
      </c>
      <c r="D9" s="47">
        <v>935.0</v>
      </c>
      <c r="E9" s="47">
        <v>985.0</v>
      </c>
      <c r="F9" s="47">
        <v>1010.0</v>
      </c>
      <c r="G9" s="47">
        <v>1035.0</v>
      </c>
      <c r="H9" s="47">
        <v>1060.0</v>
      </c>
      <c r="I9" s="47">
        <v>1085.0</v>
      </c>
      <c r="J9" s="47">
        <v>1110.0</v>
      </c>
    </row>
    <row r="10" ht="12.75" customHeight="1">
      <c r="A10" s="46">
        <v>1.8</v>
      </c>
      <c r="B10" s="47">
        <v>765.0</v>
      </c>
      <c r="C10" s="47">
        <v>840.0</v>
      </c>
      <c r="D10" s="47">
        <v>915.0</v>
      </c>
      <c r="E10" s="47">
        <v>965.0</v>
      </c>
      <c r="F10" s="47">
        <v>990.0</v>
      </c>
      <c r="G10" s="47">
        <v>1015.0</v>
      </c>
      <c r="H10" s="47">
        <v>1040.0</v>
      </c>
      <c r="I10" s="47">
        <v>1065.0</v>
      </c>
      <c r="J10" s="47">
        <v>1090.0</v>
      </c>
    </row>
    <row r="11" ht="12.75" customHeight="1">
      <c r="A11" s="46">
        <v>1.9</v>
      </c>
      <c r="B11" s="47">
        <v>745.0</v>
      </c>
      <c r="C11" s="47">
        <v>820.0</v>
      </c>
      <c r="D11" s="47">
        <v>895.0</v>
      </c>
      <c r="E11" s="47">
        <v>945.0</v>
      </c>
      <c r="F11" s="47">
        <v>970.0</v>
      </c>
      <c r="G11" s="47">
        <v>995.0</v>
      </c>
      <c r="H11" s="47">
        <v>1020.0</v>
      </c>
      <c r="I11" s="47">
        <v>1045.0</v>
      </c>
      <c r="J11" s="47">
        <v>1070.0</v>
      </c>
    </row>
    <row r="12" ht="12.75" customHeight="1">
      <c r="A12" s="46">
        <v>2.0</v>
      </c>
      <c r="B12" s="47">
        <v>730.0</v>
      </c>
      <c r="C12" s="47">
        <v>805.0</v>
      </c>
      <c r="D12" s="47">
        <v>880.0</v>
      </c>
      <c r="E12" s="47">
        <v>930.0</v>
      </c>
      <c r="F12" s="47">
        <v>955.0</v>
      </c>
      <c r="G12" s="47">
        <v>980.0</v>
      </c>
      <c r="H12" s="47">
        <v>1005.0</v>
      </c>
      <c r="I12" s="47">
        <v>1030.0</v>
      </c>
      <c r="J12" s="47">
        <v>1055.0</v>
      </c>
    </row>
    <row r="13" ht="12.75" customHeight="1">
      <c r="A13" s="46">
        <v>2.1</v>
      </c>
      <c r="B13" s="47">
        <v>715.0</v>
      </c>
      <c r="C13" s="47">
        <v>790.0</v>
      </c>
      <c r="D13" s="47">
        <v>865.0</v>
      </c>
      <c r="E13" s="47">
        <v>915.0</v>
      </c>
      <c r="F13" s="47">
        <v>940.0</v>
      </c>
      <c r="G13" s="47">
        <v>965.0</v>
      </c>
      <c r="H13" s="47">
        <v>990.0</v>
      </c>
      <c r="I13" s="47">
        <v>1015.0</v>
      </c>
      <c r="J13" s="47">
        <v>1040.0</v>
      </c>
    </row>
    <row r="14" ht="12.75" customHeight="1">
      <c r="A14" s="46">
        <v>2.2</v>
      </c>
      <c r="B14" s="47">
        <v>700.0</v>
      </c>
      <c r="C14" s="47">
        <v>775.0</v>
      </c>
      <c r="D14" s="47">
        <v>850.0</v>
      </c>
      <c r="E14" s="47">
        <v>900.0</v>
      </c>
      <c r="F14" s="47">
        <v>925.0</v>
      </c>
      <c r="G14" s="47">
        <v>950.0</v>
      </c>
      <c r="H14" s="47">
        <v>975.0</v>
      </c>
      <c r="I14" s="47">
        <v>1000.0</v>
      </c>
      <c r="J14" s="47">
        <v>1025.0</v>
      </c>
    </row>
    <row r="15" ht="12.75" customHeight="1">
      <c r="A15" s="46">
        <v>2.3</v>
      </c>
      <c r="B15" s="47">
        <v>685.0</v>
      </c>
      <c r="C15" s="47">
        <v>760.0</v>
      </c>
      <c r="D15" s="47">
        <v>835.0</v>
      </c>
      <c r="E15" s="47">
        <v>885.0</v>
      </c>
      <c r="F15" s="47">
        <v>910.0</v>
      </c>
      <c r="G15" s="47">
        <v>935.0</v>
      </c>
      <c r="H15" s="47">
        <v>960.0</v>
      </c>
      <c r="I15" s="47">
        <v>985.0</v>
      </c>
      <c r="J15" s="47">
        <v>1010.0</v>
      </c>
    </row>
    <row r="16" ht="12.75" customHeight="1">
      <c r="A16" s="46">
        <v>2.4</v>
      </c>
      <c r="B16" s="47">
        <v>670.0</v>
      </c>
      <c r="C16" s="47">
        <v>745.0</v>
      </c>
      <c r="D16" s="47">
        <v>820.0</v>
      </c>
      <c r="E16" s="47">
        <v>870.0</v>
      </c>
      <c r="F16" s="47">
        <v>895.0</v>
      </c>
      <c r="G16" s="47">
        <v>920.0</v>
      </c>
      <c r="H16" s="47">
        <v>945.0</v>
      </c>
      <c r="I16" s="47">
        <v>970.0</v>
      </c>
      <c r="J16" s="47">
        <v>995.0</v>
      </c>
    </row>
    <row r="17" ht="12.75" customHeight="1">
      <c r="A17" s="46">
        <v>2.5</v>
      </c>
      <c r="B17" s="47">
        <v>655.0</v>
      </c>
      <c r="C17" s="47">
        <v>730.0</v>
      </c>
      <c r="D17" s="47">
        <v>805.0</v>
      </c>
      <c r="E17" s="47">
        <v>855.0</v>
      </c>
      <c r="F17" s="47">
        <v>880.0</v>
      </c>
      <c r="G17" s="47">
        <v>905.0</v>
      </c>
      <c r="H17" s="47">
        <v>930.0</v>
      </c>
      <c r="I17" s="47">
        <v>955.0</v>
      </c>
      <c r="J17" s="47">
        <v>980.0</v>
      </c>
    </row>
    <row r="18" ht="12.75" customHeight="1">
      <c r="A18" s="46">
        <v>2.6</v>
      </c>
      <c r="B18" s="47">
        <v>640.0</v>
      </c>
      <c r="C18" s="47">
        <v>715.0</v>
      </c>
      <c r="D18" s="47">
        <v>790.0</v>
      </c>
      <c r="E18" s="47">
        <v>840.0</v>
      </c>
      <c r="F18" s="47">
        <v>865.0</v>
      </c>
      <c r="G18" s="47">
        <v>890.0</v>
      </c>
      <c r="H18" s="47">
        <v>915.0</v>
      </c>
      <c r="I18" s="47">
        <v>940.0</v>
      </c>
      <c r="J18" s="47">
        <v>965.0</v>
      </c>
    </row>
    <row r="19" ht="12.75" customHeight="1">
      <c r="A19" s="46">
        <v>2.7</v>
      </c>
      <c r="B19" s="47">
        <v>625.0</v>
      </c>
      <c r="C19" s="47">
        <v>700.0</v>
      </c>
      <c r="D19" s="47">
        <v>775.0</v>
      </c>
      <c r="E19" s="47">
        <v>825.0</v>
      </c>
      <c r="F19" s="47">
        <v>850.0</v>
      </c>
      <c r="G19" s="47">
        <v>875.0</v>
      </c>
      <c r="H19" s="47">
        <v>900.0</v>
      </c>
      <c r="I19" s="47">
        <v>925.0</v>
      </c>
      <c r="J19" s="47">
        <v>950.0</v>
      </c>
    </row>
    <row r="20" ht="12.75" customHeight="1">
      <c r="A20" s="46">
        <v>2.8</v>
      </c>
      <c r="B20" s="47">
        <v>610.0</v>
      </c>
      <c r="C20" s="47">
        <v>685.0</v>
      </c>
      <c r="D20" s="47">
        <v>760.0</v>
      </c>
      <c r="E20" s="47">
        <v>810.0</v>
      </c>
      <c r="F20" s="47">
        <v>835.0</v>
      </c>
      <c r="G20" s="47">
        <v>860.0</v>
      </c>
      <c r="H20" s="47">
        <v>885.0</v>
      </c>
      <c r="I20" s="47">
        <v>910.0</v>
      </c>
      <c r="J20" s="47">
        <v>935.0</v>
      </c>
    </row>
    <row r="21" ht="12.75" customHeight="1">
      <c r="A21" s="46">
        <v>2.9</v>
      </c>
      <c r="B21" s="47">
        <v>595.0</v>
      </c>
      <c r="C21" s="47">
        <v>670.0</v>
      </c>
      <c r="D21" s="47">
        <v>745.0</v>
      </c>
      <c r="E21" s="47">
        <v>795.0</v>
      </c>
      <c r="F21" s="47">
        <v>820.0</v>
      </c>
      <c r="G21" s="47">
        <v>845.0</v>
      </c>
      <c r="H21" s="47">
        <v>870.0</v>
      </c>
      <c r="I21" s="47">
        <v>895.0</v>
      </c>
      <c r="J21" s="47">
        <v>920.0</v>
      </c>
    </row>
    <row r="22" ht="12.75" customHeight="1">
      <c r="A22" s="46">
        <v>3.0</v>
      </c>
      <c r="B22" s="47">
        <v>580.0</v>
      </c>
      <c r="C22" s="47">
        <v>655.0</v>
      </c>
      <c r="D22" s="47">
        <v>730.0</v>
      </c>
      <c r="E22" s="47">
        <v>780.0</v>
      </c>
      <c r="F22" s="47">
        <v>805.0</v>
      </c>
      <c r="G22" s="47">
        <v>830.0</v>
      </c>
      <c r="H22" s="47">
        <v>855.0</v>
      </c>
      <c r="I22" s="47">
        <v>880.0</v>
      </c>
      <c r="J22" s="47">
        <v>905.0</v>
      </c>
    </row>
    <row r="23" ht="12.75" customHeight="1">
      <c r="A23" s="46">
        <v>3.1</v>
      </c>
      <c r="B23" s="47">
        <v>565.0</v>
      </c>
      <c r="C23" s="47">
        <v>640.0</v>
      </c>
      <c r="D23" s="47">
        <v>715.0</v>
      </c>
      <c r="E23" s="47">
        <v>765.0</v>
      </c>
      <c r="F23" s="47">
        <v>790.0</v>
      </c>
      <c r="G23" s="47">
        <v>815.0</v>
      </c>
      <c r="H23" s="47">
        <v>840.0</v>
      </c>
      <c r="I23" s="47">
        <v>865.0</v>
      </c>
      <c r="J23" s="47">
        <v>890.0</v>
      </c>
    </row>
    <row r="24" ht="12.75" customHeight="1">
      <c r="A24" s="46">
        <v>3.2</v>
      </c>
      <c r="B24" s="47">
        <v>550.0</v>
      </c>
      <c r="C24" s="47">
        <v>625.0</v>
      </c>
      <c r="D24" s="47">
        <v>700.0</v>
      </c>
      <c r="E24" s="47">
        <v>750.0</v>
      </c>
      <c r="F24" s="47">
        <v>775.0</v>
      </c>
      <c r="G24" s="47">
        <v>800.0</v>
      </c>
      <c r="H24" s="47">
        <v>825.0</v>
      </c>
      <c r="I24" s="47">
        <v>850.0</v>
      </c>
      <c r="J24" s="47">
        <v>875.0</v>
      </c>
    </row>
    <row r="25" ht="12.75" customHeight="1">
      <c r="A25" s="46">
        <v>3.3</v>
      </c>
      <c r="B25" s="47">
        <v>535.0</v>
      </c>
      <c r="C25" s="47">
        <v>610.0</v>
      </c>
      <c r="D25" s="47">
        <v>685.0</v>
      </c>
      <c r="E25" s="47">
        <v>735.0</v>
      </c>
      <c r="F25" s="47">
        <v>760.0</v>
      </c>
      <c r="G25" s="47">
        <v>785.0</v>
      </c>
      <c r="H25" s="47">
        <v>810.0</v>
      </c>
      <c r="I25" s="47">
        <v>835.0</v>
      </c>
      <c r="J25" s="47">
        <v>860.0</v>
      </c>
    </row>
    <row r="26" ht="12.75" customHeight="1">
      <c r="A26" s="46">
        <v>3.4</v>
      </c>
      <c r="B26" s="47">
        <v>520.0</v>
      </c>
      <c r="C26" s="47">
        <v>595.0</v>
      </c>
      <c r="D26" s="47">
        <v>670.0</v>
      </c>
      <c r="E26" s="47">
        <v>720.0</v>
      </c>
      <c r="F26" s="47">
        <v>745.0</v>
      </c>
      <c r="G26" s="47">
        <v>770.0</v>
      </c>
      <c r="H26" s="47">
        <v>795.0</v>
      </c>
      <c r="I26" s="47">
        <v>820.0</v>
      </c>
      <c r="J26" s="47">
        <v>845.0</v>
      </c>
    </row>
    <row r="27" ht="12.75" customHeight="1">
      <c r="A27" s="46">
        <v>3.5</v>
      </c>
      <c r="B27" s="47">
        <v>505.0</v>
      </c>
      <c r="C27" s="47">
        <v>580.0</v>
      </c>
      <c r="D27" s="47">
        <v>655.0</v>
      </c>
      <c r="E27" s="47">
        <v>705.0</v>
      </c>
      <c r="F27" s="47">
        <v>730.0</v>
      </c>
      <c r="G27" s="47">
        <v>755.0</v>
      </c>
      <c r="H27" s="47">
        <v>780.0</v>
      </c>
      <c r="I27" s="47">
        <v>805.0</v>
      </c>
      <c r="J27" s="47">
        <v>830.0</v>
      </c>
    </row>
    <row r="28" ht="12.75" customHeight="1">
      <c r="A28" s="46">
        <v>3.6</v>
      </c>
      <c r="B28" s="47">
        <v>495.0</v>
      </c>
      <c r="C28" s="47">
        <v>570.0</v>
      </c>
      <c r="D28" s="47">
        <v>645.0</v>
      </c>
      <c r="E28" s="47">
        <v>695.0</v>
      </c>
      <c r="F28" s="47">
        <v>720.0</v>
      </c>
      <c r="G28" s="47">
        <v>745.0</v>
      </c>
      <c r="H28" s="47">
        <v>770.0</v>
      </c>
      <c r="I28" s="47">
        <v>795.0</v>
      </c>
      <c r="J28" s="47">
        <v>820.0</v>
      </c>
    </row>
    <row r="29" ht="12.75" customHeight="1">
      <c r="A29" s="46">
        <v>3.7</v>
      </c>
      <c r="B29" s="47">
        <v>485.0</v>
      </c>
      <c r="C29" s="47">
        <v>560.0</v>
      </c>
      <c r="D29" s="47">
        <v>635.0</v>
      </c>
      <c r="E29" s="47">
        <v>685.0</v>
      </c>
      <c r="F29" s="47">
        <v>710.0</v>
      </c>
      <c r="G29" s="47">
        <v>735.0</v>
      </c>
      <c r="H29" s="47">
        <v>760.0</v>
      </c>
      <c r="I29" s="47">
        <v>785.0</v>
      </c>
      <c r="J29" s="47">
        <v>810.0</v>
      </c>
    </row>
    <row r="30" ht="12.75" customHeight="1">
      <c r="A30" s="46">
        <v>3.8</v>
      </c>
      <c r="B30" s="47">
        <v>475.0</v>
      </c>
      <c r="C30" s="47">
        <v>550.0</v>
      </c>
      <c r="D30" s="47">
        <v>625.0</v>
      </c>
      <c r="E30" s="47">
        <v>675.0</v>
      </c>
      <c r="F30" s="47">
        <v>700.0</v>
      </c>
      <c r="G30" s="47">
        <v>725.0</v>
      </c>
      <c r="H30" s="47">
        <v>750.0</v>
      </c>
      <c r="I30" s="47">
        <v>775.0</v>
      </c>
      <c r="J30" s="47">
        <v>800.0</v>
      </c>
    </row>
    <row r="31" ht="12.75" customHeight="1">
      <c r="A31" s="46">
        <v>3.9</v>
      </c>
      <c r="B31" s="47">
        <v>465.0</v>
      </c>
      <c r="C31" s="47">
        <v>540.0</v>
      </c>
      <c r="D31" s="47">
        <v>615.0</v>
      </c>
      <c r="E31" s="47">
        <v>665.0</v>
      </c>
      <c r="F31" s="47">
        <v>690.0</v>
      </c>
      <c r="G31" s="47">
        <v>715.0</v>
      </c>
      <c r="H31" s="47">
        <v>740.0</v>
      </c>
      <c r="I31" s="47">
        <v>765.0</v>
      </c>
      <c r="J31" s="47">
        <v>790.0</v>
      </c>
    </row>
    <row r="32" ht="12.75" customHeight="1">
      <c r="A32" s="46">
        <v>4.0</v>
      </c>
      <c r="B32" s="47">
        <v>455.0</v>
      </c>
      <c r="C32" s="47">
        <v>530.0</v>
      </c>
      <c r="D32" s="47">
        <v>605.0</v>
      </c>
      <c r="E32" s="47">
        <v>655.0</v>
      </c>
      <c r="F32" s="47">
        <v>680.0</v>
      </c>
      <c r="G32" s="47">
        <v>705.0</v>
      </c>
      <c r="H32" s="47">
        <v>730.0</v>
      </c>
      <c r="I32" s="47">
        <v>755.0</v>
      </c>
      <c r="J32" s="47">
        <v>780.0</v>
      </c>
    </row>
    <row r="33" ht="12.75" customHeight="1">
      <c r="A33" s="46">
        <v>4.1</v>
      </c>
      <c r="B33" s="47">
        <v>445.0</v>
      </c>
      <c r="C33" s="47">
        <v>520.0</v>
      </c>
      <c r="D33" s="47">
        <v>595.0</v>
      </c>
      <c r="E33" s="47">
        <v>645.0</v>
      </c>
      <c r="F33" s="47">
        <v>670.0</v>
      </c>
      <c r="G33" s="47">
        <v>695.0</v>
      </c>
      <c r="H33" s="47">
        <v>720.0</v>
      </c>
      <c r="I33" s="47">
        <v>745.0</v>
      </c>
      <c r="J33" s="47">
        <v>770.0</v>
      </c>
    </row>
    <row r="34" ht="12.75" customHeight="1">
      <c r="A34" s="46">
        <v>4.2</v>
      </c>
      <c r="B34" s="47">
        <v>435.0</v>
      </c>
      <c r="C34" s="47">
        <v>510.0</v>
      </c>
      <c r="D34" s="47">
        <v>585.0</v>
      </c>
      <c r="E34" s="47">
        <v>635.0</v>
      </c>
      <c r="F34" s="47">
        <v>660.0</v>
      </c>
      <c r="G34" s="47">
        <v>685.0</v>
      </c>
      <c r="H34" s="47">
        <v>710.0</v>
      </c>
      <c r="I34" s="47">
        <v>735.0</v>
      </c>
      <c r="J34" s="47">
        <v>760.0</v>
      </c>
    </row>
    <row r="35" ht="12.75" customHeight="1">
      <c r="A35" s="46">
        <v>4.3</v>
      </c>
      <c r="B35" s="47">
        <v>425.0</v>
      </c>
      <c r="C35" s="47">
        <v>500.0</v>
      </c>
      <c r="D35" s="47">
        <v>575.0</v>
      </c>
      <c r="E35" s="47">
        <v>625.0</v>
      </c>
      <c r="F35" s="47">
        <v>650.0</v>
      </c>
      <c r="G35" s="47">
        <v>675.0</v>
      </c>
      <c r="H35" s="47">
        <v>700.0</v>
      </c>
      <c r="I35" s="47">
        <v>725.0</v>
      </c>
      <c r="J35" s="47">
        <v>750.0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7" right="0.7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29"/>
    <col customWidth="1" min="3" max="3" width="10.71"/>
    <col customWidth="1" min="4" max="4" width="16.57"/>
    <col customWidth="1" min="5" max="26" width="10.71"/>
  </cols>
  <sheetData>
    <row r="1" ht="12.75" customHeight="1">
      <c r="A1" s="54" t="s">
        <v>0</v>
      </c>
      <c r="B1" s="54" t="s">
        <v>1</v>
      </c>
      <c r="C1" s="54" t="s">
        <v>2</v>
      </c>
      <c r="D1" s="55" t="s">
        <v>3</v>
      </c>
      <c r="E1" s="56" t="s">
        <v>76</v>
      </c>
    </row>
    <row r="2" ht="12.75" customHeight="1">
      <c r="A2" s="57" t="s">
        <v>77</v>
      </c>
      <c r="B2" s="57" t="s">
        <v>78</v>
      </c>
      <c r="C2" s="57" t="s">
        <v>79</v>
      </c>
      <c r="D2" s="58">
        <v>2015.0</v>
      </c>
      <c r="E2" s="57" t="s">
        <v>20</v>
      </c>
    </row>
    <row r="3" ht="12.75" customHeight="1">
      <c r="A3" s="57" t="s">
        <v>77</v>
      </c>
      <c r="B3" s="57" t="s">
        <v>80</v>
      </c>
      <c r="C3" s="57" t="s">
        <v>81</v>
      </c>
      <c r="D3" s="58">
        <v>2015.0</v>
      </c>
      <c r="E3" s="57" t="s">
        <v>82</v>
      </c>
    </row>
    <row r="4" ht="12.75" customHeight="1">
      <c r="A4" s="57" t="s">
        <v>77</v>
      </c>
      <c r="B4" s="57" t="s">
        <v>83</v>
      </c>
      <c r="C4" s="57" t="s">
        <v>84</v>
      </c>
      <c r="D4" s="58">
        <v>2015.0</v>
      </c>
      <c r="E4" s="57" t="s">
        <v>20</v>
      </c>
    </row>
    <row r="5" ht="12.75" customHeight="1">
      <c r="A5" s="57" t="s">
        <v>77</v>
      </c>
      <c r="B5" s="57" t="s">
        <v>85</v>
      </c>
      <c r="C5" s="57" t="s">
        <v>86</v>
      </c>
      <c r="D5" s="58">
        <v>2014.0</v>
      </c>
      <c r="E5" s="57" t="s">
        <v>82</v>
      </c>
    </row>
    <row r="6" ht="12.75" customHeight="1">
      <c r="A6" s="57" t="s">
        <v>77</v>
      </c>
      <c r="B6" s="57" t="s">
        <v>87</v>
      </c>
      <c r="C6" s="57" t="s">
        <v>88</v>
      </c>
      <c r="D6" s="58">
        <v>2015.0</v>
      </c>
      <c r="E6" s="57" t="s">
        <v>82</v>
      </c>
    </row>
    <row r="7" ht="12.75" customHeight="1">
      <c r="A7" s="57" t="s">
        <v>77</v>
      </c>
      <c r="B7" s="57" t="s">
        <v>89</v>
      </c>
      <c r="C7" s="57" t="s">
        <v>90</v>
      </c>
      <c r="D7" s="58">
        <v>2014.0</v>
      </c>
      <c r="E7" s="57" t="s">
        <v>82</v>
      </c>
    </row>
    <row r="8" ht="12.75" customHeight="1">
      <c r="A8" s="57" t="s">
        <v>77</v>
      </c>
      <c r="B8" s="57" t="s">
        <v>91</v>
      </c>
      <c r="C8" s="57" t="s">
        <v>92</v>
      </c>
      <c r="D8" s="58">
        <v>2015.0</v>
      </c>
      <c r="E8" s="57" t="s">
        <v>20</v>
      </c>
    </row>
    <row r="9" ht="12.75" customHeight="1">
      <c r="A9" s="57" t="s">
        <v>77</v>
      </c>
      <c r="B9" s="57" t="s">
        <v>93</v>
      </c>
      <c r="C9" s="57" t="s">
        <v>94</v>
      </c>
      <c r="D9" s="58">
        <v>2014.0</v>
      </c>
      <c r="E9" s="57" t="s">
        <v>20</v>
      </c>
    </row>
    <row r="10" ht="12.75" customHeight="1">
      <c r="A10" s="57" t="s">
        <v>77</v>
      </c>
      <c r="B10" s="57" t="s">
        <v>95</v>
      </c>
      <c r="C10" s="57" t="s">
        <v>96</v>
      </c>
      <c r="D10" s="58">
        <v>2014.0</v>
      </c>
      <c r="E10" s="57" t="s">
        <v>20</v>
      </c>
    </row>
    <row r="11" ht="12.75" customHeight="1">
      <c r="A11" s="57" t="s">
        <v>77</v>
      </c>
      <c r="B11" s="57" t="s">
        <v>97</v>
      </c>
      <c r="C11" s="57" t="s">
        <v>98</v>
      </c>
      <c r="D11" s="58">
        <v>2015.0</v>
      </c>
      <c r="E11" s="57" t="s">
        <v>20</v>
      </c>
    </row>
    <row r="12" ht="12.75" customHeight="1">
      <c r="A12" s="57" t="s">
        <v>77</v>
      </c>
      <c r="B12" s="57" t="s">
        <v>99</v>
      </c>
      <c r="C12" s="57" t="s">
        <v>100</v>
      </c>
      <c r="D12" s="58">
        <v>2015.0</v>
      </c>
      <c r="E12" s="57" t="s">
        <v>82</v>
      </c>
    </row>
    <row r="13" ht="12.75" customHeight="1">
      <c r="A13" s="57" t="s">
        <v>77</v>
      </c>
      <c r="B13" s="57" t="s">
        <v>101</v>
      </c>
      <c r="C13" s="57" t="s">
        <v>102</v>
      </c>
      <c r="D13" s="58">
        <v>2014.0</v>
      </c>
      <c r="E13" s="57" t="s">
        <v>20</v>
      </c>
    </row>
    <row r="14" ht="12.75" customHeight="1">
      <c r="A14" s="57" t="s">
        <v>77</v>
      </c>
      <c r="B14" s="57" t="s">
        <v>103</v>
      </c>
      <c r="C14" s="57" t="s">
        <v>104</v>
      </c>
      <c r="D14" s="58">
        <v>2015.0</v>
      </c>
      <c r="E14" s="57" t="s">
        <v>20</v>
      </c>
    </row>
    <row r="15" ht="12.75" customHeight="1">
      <c r="A15" s="57" t="s">
        <v>77</v>
      </c>
      <c r="B15" s="57" t="s">
        <v>105</v>
      </c>
      <c r="C15" s="57" t="s">
        <v>106</v>
      </c>
      <c r="D15" s="58">
        <v>2015.0</v>
      </c>
      <c r="E15" s="57" t="s">
        <v>20</v>
      </c>
    </row>
    <row r="16" ht="12.75" customHeight="1">
      <c r="A16" s="57" t="s">
        <v>77</v>
      </c>
      <c r="B16" s="57" t="s">
        <v>107</v>
      </c>
      <c r="C16" s="57" t="s">
        <v>108</v>
      </c>
      <c r="D16" s="58">
        <v>2015.0</v>
      </c>
      <c r="E16" s="57" t="s">
        <v>20</v>
      </c>
    </row>
    <row r="17" ht="12.75" customHeight="1">
      <c r="A17" s="57" t="s">
        <v>77</v>
      </c>
      <c r="B17" s="57" t="s">
        <v>109</v>
      </c>
      <c r="C17" s="57" t="s">
        <v>110</v>
      </c>
      <c r="D17" s="58">
        <v>2015.0</v>
      </c>
      <c r="E17" s="57" t="s">
        <v>82</v>
      </c>
    </row>
    <row r="18" ht="12.75" customHeight="1">
      <c r="A18" s="57" t="s">
        <v>77</v>
      </c>
      <c r="B18" s="57" t="s">
        <v>111</v>
      </c>
      <c r="C18" s="57" t="s">
        <v>112</v>
      </c>
      <c r="D18" s="58">
        <v>2014.0</v>
      </c>
      <c r="E18" s="57" t="s">
        <v>82</v>
      </c>
    </row>
    <row r="19" ht="12.75" customHeight="1">
      <c r="A19" s="57" t="s">
        <v>77</v>
      </c>
      <c r="B19" s="57" t="s">
        <v>113</v>
      </c>
      <c r="C19" s="57" t="s">
        <v>114</v>
      </c>
      <c r="D19" s="58">
        <v>2015.0</v>
      </c>
      <c r="E19" s="57" t="s">
        <v>82</v>
      </c>
    </row>
    <row r="20" ht="12.75" customHeight="1">
      <c r="A20" s="57" t="s">
        <v>77</v>
      </c>
      <c r="B20" s="57" t="s">
        <v>115</v>
      </c>
      <c r="C20" s="57" t="s">
        <v>116</v>
      </c>
      <c r="D20" s="58">
        <v>2015.0</v>
      </c>
      <c r="E20" s="57" t="s">
        <v>82</v>
      </c>
    </row>
    <row r="21" ht="12.75" customHeight="1">
      <c r="A21" s="57" t="s">
        <v>77</v>
      </c>
      <c r="B21" s="57" t="s">
        <v>117</v>
      </c>
      <c r="C21" s="57" t="s">
        <v>118</v>
      </c>
      <c r="D21" s="58">
        <v>2015.0</v>
      </c>
      <c r="E21" s="57" t="s">
        <v>82</v>
      </c>
    </row>
    <row r="22" ht="12.75" customHeight="1">
      <c r="A22" s="57" t="s">
        <v>77</v>
      </c>
      <c r="B22" s="57" t="s">
        <v>119</v>
      </c>
      <c r="C22" s="57" t="s">
        <v>120</v>
      </c>
      <c r="D22" s="58">
        <v>2014.0</v>
      </c>
      <c r="E22" s="57" t="s">
        <v>82</v>
      </c>
    </row>
    <row r="23" ht="12.75" customHeight="1">
      <c r="A23" s="57" t="s">
        <v>77</v>
      </c>
      <c r="B23" s="57" t="s">
        <v>121</v>
      </c>
      <c r="C23" s="57" t="s">
        <v>122</v>
      </c>
      <c r="D23" s="58">
        <v>2014.0</v>
      </c>
      <c r="E23" s="57" t="s">
        <v>82</v>
      </c>
    </row>
    <row r="24" ht="12.75" customHeight="1">
      <c r="A24" s="57" t="s">
        <v>77</v>
      </c>
      <c r="B24" s="57" t="s">
        <v>123</v>
      </c>
      <c r="C24" s="57" t="s">
        <v>124</v>
      </c>
      <c r="D24" s="58">
        <v>2014.0</v>
      </c>
      <c r="E24" s="57" t="s">
        <v>82</v>
      </c>
    </row>
    <row r="25" ht="12.75" customHeight="1">
      <c r="A25" s="57" t="s">
        <v>77</v>
      </c>
      <c r="B25" s="57" t="s">
        <v>125</v>
      </c>
      <c r="C25" s="57" t="s">
        <v>126</v>
      </c>
      <c r="D25" s="58">
        <v>2015.0</v>
      </c>
      <c r="E25" s="57" t="s">
        <v>82</v>
      </c>
    </row>
    <row r="26" ht="12.75" customHeight="1">
      <c r="A26" s="57" t="s">
        <v>77</v>
      </c>
      <c r="B26" s="57" t="s">
        <v>127</v>
      </c>
      <c r="C26" s="57" t="s">
        <v>128</v>
      </c>
      <c r="D26" s="58">
        <v>2014.0</v>
      </c>
      <c r="E26" s="57" t="s">
        <v>20</v>
      </c>
    </row>
    <row r="27" ht="12.75" customHeight="1">
      <c r="A27" s="57" t="s">
        <v>129</v>
      </c>
      <c r="B27" s="57" t="s">
        <v>130</v>
      </c>
      <c r="C27" s="57" t="s">
        <v>131</v>
      </c>
      <c r="D27" s="58">
        <v>2015.0</v>
      </c>
      <c r="E27" s="57" t="s">
        <v>20</v>
      </c>
    </row>
    <row r="28" ht="12.75" customHeight="1">
      <c r="A28" s="57" t="s">
        <v>129</v>
      </c>
      <c r="B28" s="57" t="s">
        <v>132</v>
      </c>
      <c r="C28" s="57" t="s">
        <v>133</v>
      </c>
      <c r="D28" s="58">
        <v>2015.0</v>
      </c>
      <c r="E28" s="57" t="s">
        <v>20</v>
      </c>
    </row>
    <row r="29" ht="12.75" customHeight="1">
      <c r="A29" s="57" t="s">
        <v>129</v>
      </c>
      <c r="B29" s="57" t="s">
        <v>134</v>
      </c>
      <c r="C29" s="57" t="s">
        <v>135</v>
      </c>
      <c r="D29" s="58">
        <v>2014.0</v>
      </c>
      <c r="E29" s="57" t="s">
        <v>82</v>
      </c>
    </row>
    <row r="30" ht="12.75" customHeight="1">
      <c r="A30" s="57" t="s">
        <v>129</v>
      </c>
      <c r="B30" s="57" t="s">
        <v>136</v>
      </c>
      <c r="C30" s="57" t="s">
        <v>137</v>
      </c>
      <c r="D30" s="58">
        <v>2015.0</v>
      </c>
      <c r="E30" s="57" t="s">
        <v>20</v>
      </c>
    </row>
    <row r="31" ht="12.75" customHeight="1">
      <c r="A31" s="57" t="s">
        <v>129</v>
      </c>
      <c r="B31" s="57" t="s">
        <v>138</v>
      </c>
      <c r="C31" s="57" t="s">
        <v>139</v>
      </c>
      <c r="D31" s="58">
        <v>2014.0</v>
      </c>
      <c r="E31" s="57" t="s">
        <v>82</v>
      </c>
    </row>
    <row r="32" ht="12.75" customHeight="1">
      <c r="A32" s="57" t="s">
        <v>129</v>
      </c>
      <c r="B32" s="57" t="s">
        <v>140</v>
      </c>
      <c r="C32" s="57" t="s">
        <v>141</v>
      </c>
      <c r="D32" s="58">
        <v>2015.0</v>
      </c>
      <c r="E32" s="57" t="s">
        <v>20</v>
      </c>
    </row>
    <row r="33" ht="12.75" customHeight="1">
      <c r="A33" s="57" t="s">
        <v>129</v>
      </c>
      <c r="B33" s="57" t="s">
        <v>142</v>
      </c>
      <c r="C33" s="57" t="s">
        <v>143</v>
      </c>
      <c r="D33" s="58">
        <v>2015.0</v>
      </c>
      <c r="E33" s="57" t="s">
        <v>20</v>
      </c>
    </row>
    <row r="34" ht="12.75" customHeight="1">
      <c r="A34" s="57" t="s">
        <v>129</v>
      </c>
      <c r="B34" s="57" t="s">
        <v>144</v>
      </c>
      <c r="C34" s="57" t="s">
        <v>145</v>
      </c>
      <c r="D34" s="58">
        <v>2014.0</v>
      </c>
      <c r="E34" s="57" t="s">
        <v>20</v>
      </c>
    </row>
    <row r="35" ht="12.75" customHeight="1">
      <c r="A35" s="57" t="s">
        <v>129</v>
      </c>
      <c r="B35" s="57" t="s">
        <v>146</v>
      </c>
      <c r="C35" s="57" t="s">
        <v>147</v>
      </c>
      <c r="D35" s="58">
        <v>2014.0</v>
      </c>
      <c r="E35" s="57" t="s">
        <v>20</v>
      </c>
    </row>
    <row r="36" ht="12.75" customHeight="1">
      <c r="A36" s="57" t="s">
        <v>129</v>
      </c>
      <c r="B36" s="57" t="s">
        <v>148</v>
      </c>
      <c r="C36" s="57" t="s">
        <v>149</v>
      </c>
      <c r="D36" s="58">
        <v>2015.0</v>
      </c>
      <c r="E36" s="57" t="s">
        <v>20</v>
      </c>
    </row>
    <row r="37" ht="12.75" customHeight="1">
      <c r="A37" s="57" t="s">
        <v>129</v>
      </c>
      <c r="B37" s="57" t="s">
        <v>150</v>
      </c>
      <c r="C37" s="57" t="s">
        <v>151</v>
      </c>
      <c r="D37" s="58">
        <v>2015.0</v>
      </c>
      <c r="E37" s="57" t="s">
        <v>20</v>
      </c>
    </row>
    <row r="38" ht="12.75" customHeight="1">
      <c r="A38" s="57" t="s">
        <v>129</v>
      </c>
      <c r="B38" s="57" t="s">
        <v>152</v>
      </c>
      <c r="C38" s="57" t="s">
        <v>153</v>
      </c>
      <c r="D38" s="58">
        <v>2014.0</v>
      </c>
      <c r="E38" s="57" t="s">
        <v>20</v>
      </c>
    </row>
    <row r="39" ht="12.75" customHeight="1">
      <c r="A39" s="57" t="s">
        <v>129</v>
      </c>
      <c r="B39" s="57" t="s">
        <v>154</v>
      </c>
      <c r="C39" s="57" t="s">
        <v>155</v>
      </c>
      <c r="D39" s="58">
        <v>2014.0</v>
      </c>
      <c r="E39" s="57" t="s">
        <v>20</v>
      </c>
    </row>
    <row r="40" ht="12.75" customHeight="1">
      <c r="A40" s="57" t="s">
        <v>129</v>
      </c>
      <c r="B40" s="57" t="s">
        <v>156</v>
      </c>
      <c r="C40" s="57" t="s">
        <v>157</v>
      </c>
      <c r="D40" s="58">
        <v>2015.0</v>
      </c>
      <c r="E40" s="57" t="s">
        <v>20</v>
      </c>
    </row>
    <row r="41" ht="12.75" customHeight="1">
      <c r="A41" s="57" t="s">
        <v>129</v>
      </c>
      <c r="B41" s="57" t="s">
        <v>158</v>
      </c>
      <c r="C41" s="57" t="s">
        <v>159</v>
      </c>
      <c r="D41" s="58">
        <v>2015.0</v>
      </c>
      <c r="E41" s="57" t="s">
        <v>82</v>
      </c>
    </row>
    <row r="42" ht="12.75" customHeight="1">
      <c r="A42" s="57" t="s">
        <v>129</v>
      </c>
      <c r="B42" s="57" t="s">
        <v>160</v>
      </c>
      <c r="C42" s="57" t="s">
        <v>161</v>
      </c>
      <c r="D42" s="58">
        <v>2015.0</v>
      </c>
      <c r="E42" s="57" t="s">
        <v>20</v>
      </c>
    </row>
    <row r="43" ht="12.75" customHeight="1">
      <c r="A43" s="57" t="s">
        <v>129</v>
      </c>
      <c r="B43" s="57" t="s">
        <v>162</v>
      </c>
      <c r="C43" s="57" t="s">
        <v>163</v>
      </c>
      <c r="D43" s="58">
        <v>2015.0</v>
      </c>
      <c r="E43" s="57" t="s">
        <v>82</v>
      </c>
    </row>
    <row r="44" ht="12.75" customHeight="1">
      <c r="A44" s="57" t="s">
        <v>164</v>
      </c>
      <c r="B44" s="57" t="s">
        <v>165</v>
      </c>
      <c r="C44" s="57" t="s">
        <v>166</v>
      </c>
      <c r="D44" s="58">
        <v>2014.0</v>
      </c>
      <c r="E44" s="57" t="s">
        <v>20</v>
      </c>
    </row>
    <row r="45" ht="12.75" customHeight="1">
      <c r="A45" s="57" t="s">
        <v>164</v>
      </c>
      <c r="B45" s="57" t="s">
        <v>167</v>
      </c>
      <c r="C45" s="57" t="s">
        <v>168</v>
      </c>
      <c r="D45" s="58">
        <v>2015.0</v>
      </c>
      <c r="E45" s="57" t="s">
        <v>20</v>
      </c>
    </row>
    <row r="46" ht="12.75" customHeight="1">
      <c r="A46" s="57" t="s">
        <v>164</v>
      </c>
      <c r="B46" s="57" t="s">
        <v>169</v>
      </c>
      <c r="C46" s="57" t="s">
        <v>170</v>
      </c>
      <c r="D46" s="58">
        <v>2014.0</v>
      </c>
      <c r="E46" s="57" t="s">
        <v>82</v>
      </c>
    </row>
    <row r="47" ht="12.75" customHeight="1">
      <c r="A47" s="57" t="s">
        <v>164</v>
      </c>
      <c r="B47" s="57" t="s">
        <v>169</v>
      </c>
      <c r="C47" s="57" t="s">
        <v>171</v>
      </c>
      <c r="D47" s="58">
        <v>2014.0</v>
      </c>
      <c r="E47" s="57" t="s">
        <v>82</v>
      </c>
    </row>
    <row r="48" ht="12.75" customHeight="1">
      <c r="A48" s="57" t="s">
        <v>164</v>
      </c>
      <c r="B48" s="57" t="s">
        <v>172</v>
      </c>
      <c r="C48" s="57" t="s">
        <v>173</v>
      </c>
      <c r="D48" s="58">
        <v>2014.0</v>
      </c>
      <c r="E48" s="57" t="s">
        <v>82</v>
      </c>
    </row>
    <row r="49" ht="12.75" customHeight="1">
      <c r="A49" s="57" t="s">
        <v>164</v>
      </c>
      <c r="B49" s="57" t="s">
        <v>174</v>
      </c>
      <c r="C49" s="57" t="s">
        <v>175</v>
      </c>
      <c r="D49" s="58">
        <v>2014.0</v>
      </c>
      <c r="E49" s="57" t="s">
        <v>82</v>
      </c>
    </row>
    <row r="50" ht="12.75" customHeight="1">
      <c r="A50" s="57" t="s">
        <v>164</v>
      </c>
      <c r="B50" s="57" t="s">
        <v>176</v>
      </c>
      <c r="C50" s="57" t="s">
        <v>177</v>
      </c>
      <c r="D50" s="58">
        <v>2015.0</v>
      </c>
      <c r="E50" s="57" t="s">
        <v>82</v>
      </c>
    </row>
    <row r="51" ht="12.75" customHeight="1">
      <c r="A51" s="57" t="s">
        <v>164</v>
      </c>
      <c r="B51" s="57" t="s">
        <v>148</v>
      </c>
      <c r="C51" s="57" t="s">
        <v>178</v>
      </c>
      <c r="D51" s="58">
        <v>2014.0</v>
      </c>
      <c r="E51" s="57" t="s">
        <v>20</v>
      </c>
    </row>
    <row r="52" ht="12.75" customHeight="1">
      <c r="A52" s="57" t="s">
        <v>164</v>
      </c>
      <c r="B52" s="57" t="s">
        <v>179</v>
      </c>
      <c r="C52" s="57" t="s">
        <v>180</v>
      </c>
      <c r="D52" s="58">
        <v>2015.0</v>
      </c>
      <c r="E52" s="57" t="s">
        <v>82</v>
      </c>
    </row>
    <row r="53" ht="12.75" customHeight="1">
      <c r="A53" s="57" t="s">
        <v>164</v>
      </c>
      <c r="B53" s="57" t="s">
        <v>181</v>
      </c>
      <c r="C53" s="57" t="s">
        <v>182</v>
      </c>
      <c r="D53" s="58">
        <v>2014.0</v>
      </c>
      <c r="E53" s="57" t="s">
        <v>82</v>
      </c>
    </row>
    <row r="54" ht="12.75" customHeight="1">
      <c r="A54" s="57" t="s">
        <v>164</v>
      </c>
      <c r="B54" s="57" t="s">
        <v>183</v>
      </c>
      <c r="C54" s="57" t="s">
        <v>184</v>
      </c>
      <c r="D54" s="58">
        <v>2015.0</v>
      </c>
      <c r="E54" s="57" t="s">
        <v>20</v>
      </c>
    </row>
    <row r="55" ht="12.75" customHeight="1">
      <c r="A55" s="57" t="s">
        <v>164</v>
      </c>
      <c r="B55" s="57" t="s">
        <v>185</v>
      </c>
      <c r="C55" s="57" t="s">
        <v>186</v>
      </c>
      <c r="D55" s="58">
        <v>2015.0</v>
      </c>
      <c r="E55" s="57" t="s">
        <v>82</v>
      </c>
    </row>
    <row r="56" ht="12.75" customHeight="1">
      <c r="A56" s="57" t="s">
        <v>164</v>
      </c>
      <c r="B56" s="57" t="s">
        <v>187</v>
      </c>
      <c r="C56" s="57" t="s">
        <v>188</v>
      </c>
      <c r="D56" s="58">
        <v>2015.0</v>
      </c>
      <c r="E56" s="57" t="s">
        <v>82</v>
      </c>
    </row>
    <row r="57" ht="12.75" customHeight="1">
      <c r="A57" s="57" t="s">
        <v>164</v>
      </c>
      <c r="B57" s="57" t="s">
        <v>189</v>
      </c>
      <c r="C57" s="57" t="s">
        <v>190</v>
      </c>
      <c r="D57" s="58">
        <v>2014.0</v>
      </c>
      <c r="E57" s="57" t="s">
        <v>20</v>
      </c>
    </row>
    <row r="58" ht="12.75" customHeight="1">
      <c r="A58" s="57" t="s">
        <v>164</v>
      </c>
      <c r="B58" s="57" t="s">
        <v>191</v>
      </c>
      <c r="C58" s="57" t="s">
        <v>102</v>
      </c>
      <c r="D58" s="58">
        <v>2014.0</v>
      </c>
      <c r="E58" s="57" t="s">
        <v>20</v>
      </c>
    </row>
    <row r="59" ht="12.75" customHeight="1">
      <c r="A59" s="57" t="s">
        <v>164</v>
      </c>
      <c r="B59" s="57" t="s">
        <v>192</v>
      </c>
      <c r="C59" s="57" t="s">
        <v>193</v>
      </c>
      <c r="D59" s="58">
        <v>2015.0</v>
      </c>
      <c r="E59" s="57" t="s">
        <v>82</v>
      </c>
    </row>
    <row r="60" ht="12.75" customHeight="1">
      <c r="A60" s="57" t="s">
        <v>164</v>
      </c>
      <c r="B60" s="57" t="s">
        <v>194</v>
      </c>
      <c r="C60" s="57" t="s">
        <v>195</v>
      </c>
      <c r="D60" s="58">
        <v>2014.0</v>
      </c>
      <c r="E60" s="57" t="s">
        <v>82</v>
      </c>
    </row>
    <row r="61" ht="12.75" customHeight="1">
      <c r="A61" s="57" t="s">
        <v>164</v>
      </c>
      <c r="B61" s="57" t="s">
        <v>196</v>
      </c>
      <c r="C61" s="57" t="s">
        <v>197</v>
      </c>
      <c r="D61" s="58">
        <v>2015.0</v>
      </c>
      <c r="E61" s="57" t="s">
        <v>82</v>
      </c>
    </row>
    <row r="62" ht="12.75" customHeight="1">
      <c r="A62" s="57" t="s">
        <v>164</v>
      </c>
      <c r="B62" s="57" t="s">
        <v>198</v>
      </c>
      <c r="C62" s="57" t="s">
        <v>199</v>
      </c>
      <c r="D62" s="58">
        <v>2015.0</v>
      </c>
      <c r="E62" s="57" t="s">
        <v>20</v>
      </c>
    </row>
    <row r="63" ht="12.75" customHeight="1">
      <c r="A63" s="57" t="s">
        <v>164</v>
      </c>
      <c r="B63" s="57" t="s">
        <v>200</v>
      </c>
      <c r="C63" s="57" t="s">
        <v>201</v>
      </c>
      <c r="D63" s="58">
        <v>2014.0</v>
      </c>
      <c r="E63" s="57" t="s">
        <v>82</v>
      </c>
    </row>
    <row r="64" ht="12.75" customHeight="1">
      <c r="A64" s="57" t="s">
        <v>164</v>
      </c>
      <c r="B64" s="57" t="s">
        <v>202</v>
      </c>
      <c r="C64" s="57" t="s">
        <v>203</v>
      </c>
      <c r="D64" s="58">
        <v>2014.0</v>
      </c>
      <c r="E64" s="57" t="s">
        <v>82</v>
      </c>
    </row>
    <row r="65" ht="12.75" customHeight="1">
      <c r="A65" s="57" t="s">
        <v>164</v>
      </c>
      <c r="B65" s="57" t="s">
        <v>204</v>
      </c>
      <c r="C65" s="57" t="s">
        <v>205</v>
      </c>
      <c r="D65" s="58">
        <v>2014.0</v>
      </c>
      <c r="E65" s="57" t="s">
        <v>20</v>
      </c>
    </row>
    <row r="66" ht="12.75" customHeight="1">
      <c r="A66" s="57" t="s">
        <v>164</v>
      </c>
      <c r="B66" s="57" t="s">
        <v>206</v>
      </c>
      <c r="C66" s="57" t="s">
        <v>207</v>
      </c>
      <c r="D66" s="58">
        <v>2015.0</v>
      </c>
      <c r="E66" s="57" t="s">
        <v>82</v>
      </c>
    </row>
    <row r="67" ht="12.75" customHeight="1">
      <c r="A67" s="57" t="s">
        <v>164</v>
      </c>
      <c r="B67" s="57" t="s">
        <v>208</v>
      </c>
      <c r="C67" s="57" t="s">
        <v>209</v>
      </c>
      <c r="D67" s="58">
        <v>2015.0</v>
      </c>
      <c r="E67" s="57" t="s">
        <v>20</v>
      </c>
    </row>
    <row r="68" ht="12.75" customHeight="1">
      <c r="A68" s="57" t="s">
        <v>164</v>
      </c>
      <c r="B68" s="57" t="s">
        <v>210</v>
      </c>
      <c r="C68" s="57" t="s">
        <v>211</v>
      </c>
      <c r="D68" s="58">
        <v>2014.0</v>
      </c>
      <c r="E68" s="57" t="s">
        <v>20</v>
      </c>
    </row>
    <row r="69" ht="12.75" customHeight="1">
      <c r="A69" s="57" t="s">
        <v>212</v>
      </c>
      <c r="B69" s="57" t="s">
        <v>213</v>
      </c>
      <c r="C69" s="57" t="s">
        <v>214</v>
      </c>
      <c r="D69" s="58">
        <v>2013.0</v>
      </c>
      <c r="E69" s="57" t="s">
        <v>20</v>
      </c>
    </row>
    <row r="70" ht="12.75" customHeight="1">
      <c r="A70" s="57" t="s">
        <v>212</v>
      </c>
      <c r="B70" s="57" t="s">
        <v>215</v>
      </c>
      <c r="C70" s="57" t="s">
        <v>216</v>
      </c>
      <c r="D70" s="58">
        <v>2013.0</v>
      </c>
      <c r="E70" s="57" t="s">
        <v>82</v>
      </c>
    </row>
    <row r="71" ht="12.75" customHeight="1">
      <c r="A71" s="57" t="s">
        <v>212</v>
      </c>
      <c r="B71" s="57" t="s">
        <v>217</v>
      </c>
      <c r="C71" s="57" t="s">
        <v>218</v>
      </c>
      <c r="D71" s="58">
        <v>2014.0</v>
      </c>
      <c r="E71" s="57" t="s">
        <v>20</v>
      </c>
    </row>
    <row r="72" ht="12.75" customHeight="1">
      <c r="A72" s="57" t="s">
        <v>212</v>
      </c>
      <c r="B72" s="57" t="s">
        <v>219</v>
      </c>
      <c r="C72" s="57" t="s">
        <v>220</v>
      </c>
      <c r="D72" s="58">
        <v>2014.0</v>
      </c>
      <c r="E72" s="57" t="s">
        <v>82</v>
      </c>
    </row>
    <row r="73" ht="12.75" customHeight="1">
      <c r="A73" s="57" t="s">
        <v>212</v>
      </c>
      <c r="B73" s="57" t="s">
        <v>221</v>
      </c>
      <c r="C73" s="57" t="s">
        <v>222</v>
      </c>
      <c r="D73" s="58">
        <v>2014.0</v>
      </c>
      <c r="E73" s="57" t="s">
        <v>20</v>
      </c>
    </row>
    <row r="74" ht="12.75" customHeight="1">
      <c r="A74" s="57" t="s">
        <v>212</v>
      </c>
      <c r="B74" s="57" t="s">
        <v>223</v>
      </c>
      <c r="C74" s="57" t="s">
        <v>224</v>
      </c>
      <c r="D74" s="58">
        <v>2014.0</v>
      </c>
      <c r="E74" s="57" t="s">
        <v>82</v>
      </c>
    </row>
    <row r="75" ht="12.75" customHeight="1">
      <c r="A75" s="57" t="s">
        <v>212</v>
      </c>
      <c r="B75" s="57" t="s">
        <v>225</v>
      </c>
      <c r="C75" s="57" t="s">
        <v>226</v>
      </c>
      <c r="D75" s="58">
        <v>2014.0</v>
      </c>
      <c r="E75" s="57" t="s">
        <v>20</v>
      </c>
    </row>
    <row r="76" ht="12.75" customHeight="1">
      <c r="A76" s="57" t="s">
        <v>212</v>
      </c>
      <c r="B76" s="57" t="s">
        <v>227</v>
      </c>
      <c r="C76" s="57" t="s">
        <v>228</v>
      </c>
      <c r="D76" s="58">
        <v>2013.0</v>
      </c>
      <c r="E76" s="57" t="s">
        <v>82</v>
      </c>
    </row>
    <row r="77" ht="12.75" customHeight="1">
      <c r="A77" s="57" t="s">
        <v>212</v>
      </c>
      <c r="B77" s="57" t="s">
        <v>229</v>
      </c>
      <c r="C77" s="57" t="s">
        <v>230</v>
      </c>
      <c r="D77" s="58">
        <v>2013.0</v>
      </c>
      <c r="E77" s="57" t="s">
        <v>82</v>
      </c>
    </row>
    <row r="78" ht="12.75" customHeight="1">
      <c r="A78" s="57" t="s">
        <v>212</v>
      </c>
      <c r="B78" s="57" t="s">
        <v>231</v>
      </c>
      <c r="C78" s="57" t="s">
        <v>232</v>
      </c>
      <c r="D78" s="58">
        <v>2014.0</v>
      </c>
      <c r="E78" s="57" t="s">
        <v>20</v>
      </c>
    </row>
    <row r="79" ht="12.75" customHeight="1">
      <c r="A79" s="57" t="s">
        <v>212</v>
      </c>
      <c r="B79" s="57" t="s">
        <v>233</v>
      </c>
      <c r="C79" s="57" t="s">
        <v>234</v>
      </c>
      <c r="D79" s="58">
        <v>2013.0</v>
      </c>
      <c r="E79" s="57" t="s">
        <v>20</v>
      </c>
    </row>
    <row r="80" ht="12.75" customHeight="1">
      <c r="A80" s="57" t="s">
        <v>212</v>
      </c>
      <c r="B80" s="57" t="s">
        <v>235</v>
      </c>
      <c r="C80" s="57" t="s">
        <v>110</v>
      </c>
      <c r="D80" s="58">
        <v>2013.0</v>
      </c>
      <c r="E80" s="57" t="s">
        <v>82</v>
      </c>
    </row>
    <row r="81" ht="12.75" customHeight="1">
      <c r="A81" s="57" t="s">
        <v>212</v>
      </c>
      <c r="B81" s="57" t="s">
        <v>236</v>
      </c>
      <c r="C81" s="57" t="s">
        <v>237</v>
      </c>
      <c r="D81" s="58">
        <v>2013.0</v>
      </c>
      <c r="E81" s="57" t="s">
        <v>20</v>
      </c>
    </row>
    <row r="82" ht="12.75" customHeight="1">
      <c r="A82" s="57" t="s">
        <v>212</v>
      </c>
      <c r="B82" s="57" t="s">
        <v>238</v>
      </c>
      <c r="C82" s="57" t="s">
        <v>170</v>
      </c>
      <c r="D82" s="58">
        <v>2013.0</v>
      </c>
      <c r="E82" s="57" t="s">
        <v>82</v>
      </c>
    </row>
    <row r="83" ht="12.75" customHeight="1">
      <c r="A83" s="57" t="s">
        <v>212</v>
      </c>
      <c r="B83" s="57" t="s">
        <v>239</v>
      </c>
      <c r="C83" s="57" t="s">
        <v>186</v>
      </c>
      <c r="D83" s="58">
        <v>2013.0</v>
      </c>
      <c r="E83" s="57" t="s">
        <v>82</v>
      </c>
    </row>
    <row r="84" ht="12.75" customHeight="1">
      <c r="A84" s="57" t="s">
        <v>212</v>
      </c>
      <c r="B84" s="57" t="s">
        <v>240</v>
      </c>
      <c r="C84" s="57" t="s">
        <v>241</v>
      </c>
      <c r="D84" s="58">
        <v>2012.0</v>
      </c>
      <c r="E84" s="57" t="s">
        <v>20</v>
      </c>
    </row>
    <row r="85" ht="12.75" customHeight="1">
      <c r="A85" s="57" t="s">
        <v>212</v>
      </c>
      <c r="B85" s="57" t="s">
        <v>242</v>
      </c>
      <c r="C85" s="57" t="s">
        <v>243</v>
      </c>
      <c r="D85" s="58">
        <v>2013.0</v>
      </c>
      <c r="E85" s="57" t="s">
        <v>82</v>
      </c>
    </row>
    <row r="86" ht="12.75" customHeight="1">
      <c r="A86" s="57" t="s">
        <v>212</v>
      </c>
      <c r="B86" s="57" t="s">
        <v>244</v>
      </c>
      <c r="C86" s="57" t="s">
        <v>245</v>
      </c>
      <c r="D86" s="58">
        <v>2014.0</v>
      </c>
      <c r="E86" s="57" t="s">
        <v>82</v>
      </c>
    </row>
    <row r="87" ht="12.75" customHeight="1">
      <c r="A87" s="57" t="s">
        <v>212</v>
      </c>
      <c r="B87" s="57" t="s">
        <v>246</v>
      </c>
      <c r="C87" s="57" t="s">
        <v>100</v>
      </c>
      <c r="D87" s="58">
        <v>2013.0</v>
      </c>
      <c r="E87" s="57" t="s">
        <v>82</v>
      </c>
    </row>
    <row r="88" ht="12.75" customHeight="1">
      <c r="A88" s="57" t="s">
        <v>212</v>
      </c>
      <c r="B88" s="57" t="s">
        <v>247</v>
      </c>
      <c r="C88" s="57" t="s">
        <v>248</v>
      </c>
      <c r="D88" s="58">
        <v>2014.0</v>
      </c>
      <c r="E88" s="57" t="s">
        <v>82</v>
      </c>
    </row>
    <row r="89" ht="12.75" customHeight="1">
      <c r="A89" s="57" t="s">
        <v>212</v>
      </c>
      <c r="B89" s="57" t="s">
        <v>148</v>
      </c>
      <c r="C89" s="57" t="s">
        <v>116</v>
      </c>
      <c r="D89" s="58">
        <v>2013.0</v>
      </c>
      <c r="E89" s="57" t="s">
        <v>82</v>
      </c>
    </row>
    <row r="90" ht="12.75" customHeight="1">
      <c r="A90" s="57" t="s">
        <v>212</v>
      </c>
      <c r="B90" s="57" t="s">
        <v>148</v>
      </c>
      <c r="C90" s="57" t="s">
        <v>249</v>
      </c>
      <c r="D90" s="58">
        <v>2013.0</v>
      </c>
      <c r="E90" s="57" t="s">
        <v>20</v>
      </c>
    </row>
    <row r="91" ht="12.75" customHeight="1">
      <c r="A91" s="57" t="s">
        <v>212</v>
      </c>
      <c r="B91" s="57" t="s">
        <v>148</v>
      </c>
      <c r="C91" s="57" t="s">
        <v>250</v>
      </c>
      <c r="D91" s="58">
        <v>2014.0</v>
      </c>
      <c r="E91" s="57" t="s">
        <v>82</v>
      </c>
    </row>
    <row r="92" ht="12.75" customHeight="1">
      <c r="A92" s="57" t="s">
        <v>212</v>
      </c>
      <c r="B92" s="57" t="s">
        <v>179</v>
      </c>
      <c r="C92" s="57" t="s">
        <v>251</v>
      </c>
      <c r="D92" s="58">
        <v>2014.0</v>
      </c>
      <c r="E92" s="57" t="s">
        <v>82</v>
      </c>
    </row>
    <row r="93" ht="12.75" customHeight="1">
      <c r="A93" s="57" t="s">
        <v>212</v>
      </c>
      <c r="B93" s="57" t="s">
        <v>252</v>
      </c>
      <c r="C93" s="57" t="s">
        <v>253</v>
      </c>
      <c r="D93" s="58">
        <v>2014.0</v>
      </c>
      <c r="E93" s="57" t="s">
        <v>20</v>
      </c>
    </row>
    <row r="94" ht="12.75" customHeight="1">
      <c r="A94" s="57" t="s">
        <v>212</v>
      </c>
      <c r="B94" s="57" t="s">
        <v>254</v>
      </c>
      <c r="C94" s="57" t="s">
        <v>255</v>
      </c>
      <c r="D94" s="58">
        <v>2013.0</v>
      </c>
      <c r="E94" s="57" t="s">
        <v>82</v>
      </c>
    </row>
    <row r="95" ht="12.75" customHeight="1">
      <c r="A95" s="57" t="s">
        <v>212</v>
      </c>
      <c r="B95" s="57" t="s">
        <v>256</v>
      </c>
      <c r="C95" s="57" t="s">
        <v>257</v>
      </c>
      <c r="D95" s="58">
        <v>2014.0</v>
      </c>
      <c r="E95" s="57" t="s">
        <v>20</v>
      </c>
    </row>
    <row r="96" ht="12.75" customHeight="1">
      <c r="A96" s="57" t="s">
        <v>212</v>
      </c>
      <c r="B96" s="57" t="s">
        <v>258</v>
      </c>
      <c r="C96" s="57" t="s">
        <v>259</v>
      </c>
      <c r="D96" s="58">
        <v>2014.0</v>
      </c>
      <c r="E96" s="57" t="s">
        <v>20</v>
      </c>
    </row>
    <row r="97" ht="12.75" customHeight="1">
      <c r="A97" s="57" t="s">
        <v>212</v>
      </c>
      <c r="B97" s="57" t="s">
        <v>260</v>
      </c>
      <c r="C97" s="57" t="s">
        <v>261</v>
      </c>
      <c r="D97" s="58">
        <v>2014.0</v>
      </c>
      <c r="E97" s="57" t="s">
        <v>20</v>
      </c>
    </row>
    <row r="98" ht="12.75" customHeight="1">
      <c r="A98" s="57" t="s">
        <v>212</v>
      </c>
      <c r="B98" s="57" t="s">
        <v>262</v>
      </c>
      <c r="C98" s="57" t="s">
        <v>263</v>
      </c>
      <c r="D98" s="58">
        <v>2013.0</v>
      </c>
      <c r="E98" s="57" t="s">
        <v>20</v>
      </c>
    </row>
    <row r="99" ht="12.75" customHeight="1">
      <c r="A99" s="57" t="s">
        <v>212</v>
      </c>
      <c r="B99" s="57" t="s">
        <v>264</v>
      </c>
      <c r="C99" s="57" t="s">
        <v>220</v>
      </c>
      <c r="D99" s="58">
        <v>2014.0</v>
      </c>
      <c r="E99" s="57" t="s">
        <v>82</v>
      </c>
    </row>
    <row r="100" ht="12.75" customHeight="1">
      <c r="A100" s="57" t="s">
        <v>212</v>
      </c>
      <c r="B100" s="57" t="s">
        <v>265</v>
      </c>
      <c r="C100" s="57" t="s">
        <v>243</v>
      </c>
      <c r="D100" s="58">
        <v>2013.0</v>
      </c>
      <c r="E100" s="57" t="s">
        <v>82</v>
      </c>
    </row>
    <row r="101" ht="12.75" customHeight="1">
      <c r="A101" s="57" t="s">
        <v>212</v>
      </c>
      <c r="B101" s="57" t="s">
        <v>208</v>
      </c>
      <c r="C101" s="57" t="s">
        <v>266</v>
      </c>
      <c r="D101" s="58">
        <v>2013.0</v>
      </c>
      <c r="E101" s="57" t="s">
        <v>82</v>
      </c>
    </row>
    <row r="102" ht="12.75" customHeight="1">
      <c r="A102" s="57" t="s">
        <v>267</v>
      </c>
      <c r="B102" s="57" t="s">
        <v>268</v>
      </c>
      <c r="C102" s="57" t="s">
        <v>269</v>
      </c>
      <c r="D102" s="58">
        <v>2013.0</v>
      </c>
      <c r="E102" s="57" t="s">
        <v>82</v>
      </c>
    </row>
    <row r="103" ht="12.75" customHeight="1">
      <c r="A103" s="57" t="s">
        <v>267</v>
      </c>
      <c r="B103" s="57" t="s">
        <v>270</v>
      </c>
      <c r="C103" s="57" t="s">
        <v>271</v>
      </c>
      <c r="D103" s="58">
        <v>2014.0</v>
      </c>
      <c r="E103" s="57" t="s">
        <v>20</v>
      </c>
    </row>
    <row r="104" ht="12.75" customHeight="1">
      <c r="A104" s="57" t="s">
        <v>267</v>
      </c>
      <c r="B104" s="57" t="s">
        <v>272</v>
      </c>
      <c r="C104" s="57" t="s">
        <v>273</v>
      </c>
      <c r="D104" s="59">
        <v>2014.0</v>
      </c>
      <c r="E104" s="57" t="s">
        <v>82</v>
      </c>
    </row>
    <row r="105" ht="12.75" customHeight="1">
      <c r="A105" s="57" t="s">
        <v>267</v>
      </c>
      <c r="B105" s="57" t="s">
        <v>274</v>
      </c>
      <c r="C105" s="57" t="s">
        <v>275</v>
      </c>
      <c r="D105" s="59">
        <v>2014.0</v>
      </c>
      <c r="E105" s="57" t="s">
        <v>20</v>
      </c>
    </row>
    <row r="106" ht="12.75" customHeight="1">
      <c r="A106" s="57" t="s">
        <v>267</v>
      </c>
      <c r="B106" s="57" t="s">
        <v>276</v>
      </c>
      <c r="C106" s="57" t="s">
        <v>277</v>
      </c>
      <c r="D106" s="59">
        <v>2013.0</v>
      </c>
      <c r="E106" s="57" t="s">
        <v>82</v>
      </c>
    </row>
    <row r="107" ht="12.75" customHeight="1">
      <c r="A107" s="57" t="s">
        <v>267</v>
      </c>
      <c r="B107" s="57" t="s">
        <v>278</v>
      </c>
      <c r="C107" s="57" t="s">
        <v>279</v>
      </c>
      <c r="D107" s="59">
        <v>2013.0</v>
      </c>
      <c r="E107" s="57" t="s">
        <v>82</v>
      </c>
    </row>
    <row r="108" ht="12.75" customHeight="1">
      <c r="A108" s="57" t="s">
        <v>267</v>
      </c>
      <c r="B108" s="57" t="s">
        <v>280</v>
      </c>
      <c r="C108" s="57" t="s">
        <v>102</v>
      </c>
      <c r="D108" s="59">
        <v>2014.0</v>
      </c>
      <c r="E108" s="57" t="s">
        <v>20</v>
      </c>
    </row>
    <row r="109" ht="12.75" customHeight="1">
      <c r="A109" s="57" t="s">
        <v>267</v>
      </c>
      <c r="B109" s="57" t="s">
        <v>281</v>
      </c>
      <c r="C109" s="57" t="s">
        <v>282</v>
      </c>
      <c r="D109" s="59">
        <v>2013.0</v>
      </c>
      <c r="E109" s="57" t="s">
        <v>20</v>
      </c>
    </row>
    <row r="110" ht="12.75" customHeight="1">
      <c r="A110" s="57" t="s">
        <v>267</v>
      </c>
      <c r="B110" s="57" t="s">
        <v>283</v>
      </c>
      <c r="C110" s="57" t="s">
        <v>284</v>
      </c>
      <c r="D110" s="59">
        <v>2014.0</v>
      </c>
      <c r="E110" s="57" t="s">
        <v>20</v>
      </c>
    </row>
    <row r="111" ht="12.75" customHeight="1">
      <c r="A111" s="57" t="s">
        <v>267</v>
      </c>
      <c r="B111" s="57" t="s">
        <v>247</v>
      </c>
      <c r="C111" s="57" t="s">
        <v>285</v>
      </c>
      <c r="D111" s="59">
        <v>2013.0</v>
      </c>
      <c r="E111" s="57" t="s">
        <v>20</v>
      </c>
    </row>
    <row r="112" ht="12.75" customHeight="1">
      <c r="A112" s="57" t="s">
        <v>267</v>
      </c>
      <c r="B112" s="57" t="s">
        <v>148</v>
      </c>
      <c r="C112" s="57" t="s">
        <v>286</v>
      </c>
      <c r="D112" s="59">
        <v>2014.0</v>
      </c>
      <c r="E112" s="57" t="s">
        <v>82</v>
      </c>
    </row>
    <row r="113" ht="12.75" customHeight="1">
      <c r="A113" s="57" t="s">
        <v>267</v>
      </c>
      <c r="B113" s="57" t="s">
        <v>287</v>
      </c>
      <c r="C113" s="57" t="s">
        <v>124</v>
      </c>
      <c r="D113" s="59">
        <v>2014.0</v>
      </c>
      <c r="E113" s="57" t="s">
        <v>82</v>
      </c>
    </row>
    <row r="114" ht="12.75" customHeight="1">
      <c r="A114" s="57" t="s">
        <v>267</v>
      </c>
      <c r="B114" s="57" t="s">
        <v>288</v>
      </c>
      <c r="C114" s="57" t="s">
        <v>141</v>
      </c>
      <c r="D114" s="59">
        <v>2014.0</v>
      </c>
      <c r="E114" s="57" t="s">
        <v>20</v>
      </c>
    </row>
    <row r="115" ht="12.75" customHeight="1">
      <c r="A115" s="57" t="s">
        <v>267</v>
      </c>
      <c r="B115" s="57" t="s">
        <v>289</v>
      </c>
      <c r="C115" s="57" t="s">
        <v>290</v>
      </c>
      <c r="D115" s="59">
        <v>2014.0</v>
      </c>
      <c r="E115" s="57" t="s">
        <v>82</v>
      </c>
    </row>
    <row r="116" ht="12.75" customHeight="1">
      <c r="A116" s="57" t="s">
        <v>267</v>
      </c>
      <c r="B116" s="57" t="s">
        <v>183</v>
      </c>
      <c r="C116" s="57" t="s">
        <v>291</v>
      </c>
      <c r="D116" s="59">
        <v>2013.0</v>
      </c>
      <c r="E116" s="57" t="s">
        <v>82</v>
      </c>
    </row>
    <row r="117" ht="12.75" customHeight="1">
      <c r="A117" s="57" t="s">
        <v>267</v>
      </c>
      <c r="B117" s="57" t="s">
        <v>292</v>
      </c>
      <c r="C117" s="57" t="s">
        <v>237</v>
      </c>
      <c r="D117" s="59">
        <v>2014.0</v>
      </c>
      <c r="E117" s="57" t="s">
        <v>20</v>
      </c>
    </row>
    <row r="118" ht="12.75" customHeight="1">
      <c r="A118" s="57" t="s">
        <v>267</v>
      </c>
      <c r="B118" s="57" t="s">
        <v>293</v>
      </c>
      <c r="C118" s="57" t="s">
        <v>273</v>
      </c>
      <c r="D118" s="59">
        <v>2014.0</v>
      </c>
      <c r="E118" s="57" t="s">
        <v>82</v>
      </c>
    </row>
    <row r="119" ht="12.75" customHeight="1">
      <c r="A119" s="57" t="s">
        <v>267</v>
      </c>
      <c r="B119" s="57" t="s">
        <v>294</v>
      </c>
      <c r="C119" s="57" t="s">
        <v>295</v>
      </c>
      <c r="D119" s="59">
        <v>2014.0</v>
      </c>
      <c r="E119" s="57" t="s">
        <v>20</v>
      </c>
    </row>
    <row r="120" ht="12.75" customHeight="1">
      <c r="A120" s="57" t="s">
        <v>267</v>
      </c>
      <c r="B120" s="57" t="s">
        <v>296</v>
      </c>
      <c r="C120" s="57" t="s">
        <v>297</v>
      </c>
      <c r="D120" s="59">
        <v>2014.0</v>
      </c>
      <c r="E120" s="57" t="s">
        <v>20</v>
      </c>
    </row>
    <row r="121" ht="12.75" customHeight="1">
      <c r="A121" s="57" t="s">
        <v>267</v>
      </c>
      <c r="B121" s="57" t="s">
        <v>298</v>
      </c>
      <c r="C121" s="57" t="s">
        <v>145</v>
      </c>
      <c r="D121" s="59">
        <v>2014.0</v>
      </c>
      <c r="E121" s="57" t="s">
        <v>82</v>
      </c>
    </row>
    <row r="122" ht="12.75" customHeight="1">
      <c r="A122" s="57" t="s">
        <v>267</v>
      </c>
      <c r="B122" s="57" t="s">
        <v>299</v>
      </c>
      <c r="C122" s="57" t="s">
        <v>300</v>
      </c>
      <c r="D122" s="59">
        <v>2014.0</v>
      </c>
      <c r="E122" s="57" t="s">
        <v>20</v>
      </c>
    </row>
    <row r="123" ht="12.75" customHeight="1">
      <c r="A123" s="57" t="s">
        <v>267</v>
      </c>
      <c r="B123" s="57" t="s">
        <v>301</v>
      </c>
      <c r="C123" s="57" t="s">
        <v>249</v>
      </c>
      <c r="D123" s="59">
        <v>2014.0</v>
      </c>
      <c r="E123" s="57" t="s">
        <v>20</v>
      </c>
    </row>
    <row r="124" ht="12.75" customHeight="1">
      <c r="A124" s="57" t="s">
        <v>267</v>
      </c>
      <c r="B124" s="57" t="s">
        <v>302</v>
      </c>
      <c r="C124" s="57" t="s">
        <v>303</v>
      </c>
      <c r="D124" s="59">
        <v>2013.0</v>
      </c>
      <c r="E124" s="57" t="s">
        <v>20</v>
      </c>
    </row>
    <row r="125" ht="12.75" customHeight="1">
      <c r="A125" s="57" t="s">
        <v>267</v>
      </c>
      <c r="B125" s="57" t="s">
        <v>260</v>
      </c>
      <c r="C125" s="57" t="s">
        <v>170</v>
      </c>
      <c r="D125" s="59">
        <v>2013.0</v>
      </c>
      <c r="E125" s="57" t="s">
        <v>82</v>
      </c>
    </row>
    <row r="126" ht="12.75" customHeight="1">
      <c r="A126" s="57" t="s">
        <v>267</v>
      </c>
      <c r="B126" s="57" t="s">
        <v>304</v>
      </c>
      <c r="C126" s="57" t="s">
        <v>305</v>
      </c>
      <c r="D126" s="59">
        <v>2013.0</v>
      </c>
      <c r="E126" s="57" t="s">
        <v>20</v>
      </c>
    </row>
    <row r="127" ht="12.75" customHeight="1">
      <c r="A127" s="57" t="s">
        <v>267</v>
      </c>
      <c r="B127" s="57" t="s">
        <v>200</v>
      </c>
      <c r="C127" s="57" t="s">
        <v>306</v>
      </c>
      <c r="D127" s="59">
        <v>2014.0</v>
      </c>
      <c r="E127" s="57" t="s">
        <v>20</v>
      </c>
    </row>
    <row r="128" ht="12.75" customHeight="1">
      <c r="A128" s="57" t="s">
        <v>267</v>
      </c>
      <c r="B128" s="57" t="s">
        <v>307</v>
      </c>
      <c r="C128" s="57" t="s">
        <v>308</v>
      </c>
      <c r="D128" s="59">
        <v>2014.0</v>
      </c>
      <c r="E128" s="57" t="s">
        <v>20</v>
      </c>
    </row>
    <row r="129" ht="12.75" customHeight="1">
      <c r="A129" s="57" t="s">
        <v>267</v>
      </c>
      <c r="B129" s="57" t="s">
        <v>309</v>
      </c>
      <c r="C129" s="57" t="s">
        <v>310</v>
      </c>
      <c r="D129" s="59">
        <v>2014.0</v>
      </c>
      <c r="E129" s="57" t="s">
        <v>82</v>
      </c>
    </row>
    <row r="130" ht="12.75" customHeight="1">
      <c r="A130" s="57" t="s">
        <v>267</v>
      </c>
      <c r="B130" s="57" t="s">
        <v>311</v>
      </c>
      <c r="C130" s="57" t="s">
        <v>312</v>
      </c>
      <c r="D130" s="59">
        <v>2014.0</v>
      </c>
      <c r="E130" s="57" t="s">
        <v>82</v>
      </c>
    </row>
    <row r="131" ht="12.75" customHeight="1">
      <c r="A131" s="57" t="s">
        <v>267</v>
      </c>
      <c r="B131" s="57" t="s">
        <v>313</v>
      </c>
      <c r="C131" s="57" t="s">
        <v>314</v>
      </c>
      <c r="D131" s="59">
        <v>2014.0</v>
      </c>
      <c r="E131" s="57" t="s">
        <v>20</v>
      </c>
    </row>
    <row r="132" ht="12.75" customHeight="1">
      <c r="A132" s="57" t="s">
        <v>267</v>
      </c>
      <c r="B132" s="57" t="s">
        <v>315</v>
      </c>
      <c r="C132" s="57" t="s">
        <v>316</v>
      </c>
      <c r="D132" s="59">
        <v>2014.0</v>
      </c>
      <c r="E132" s="57" t="s">
        <v>20</v>
      </c>
    </row>
    <row r="133" ht="12.75" customHeight="1">
      <c r="A133" s="57" t="s">
        <v>317</v>
      </c>
      <c r="B133" s="57" t="s">
        <v>318</v>
      </c>
      <c r="C133" s="57" t="s">
        <v>319</v>
      </c>
      <c r="D133" s="59">
        <v>2014.0</v>
      </c>
      <c r="E133" s="57" t="s">
        <v>82</v>
      </c>
    </row>
    <row r="134" ht="12.75" customHeight="1">
      <c r="A134" s="57" t="s">
        <v>317</v>
      </c>
      <c r="B134" s="57" t="s">
        <v>320</v>
      </c>
      <c r="C134" s="57" t="s">
        <v>321</v>
      </c>
      <c r="D134" s="59">
        <v>2014.0</v>
      </c>
      <c r="E134" s="57" t="s">
        <v>82</v>
      </c>
    </row>
    <row r="135" ht="12.75" customHeight="1">
      <c r="A135" s="57" t="s">
        <v>317</v>
      </c>
      <c r="B135" s="57" t="s">
        <v>322</v>
      </c>
      <c r="C135" s="57" t="s">
        <v>308</v>
      </c>
      <c r="D135" s="59">
        <v>2014.0</v>
      </c>
      <c r="E135" s="57" t="s">
        <v>20</v>
      </c>
    </row>
    <row r="136" ht="12.75" customHeight="1">
      <c r="A136" s="57" t="s">
        <v>317</v>
      </c>
      <c r="B136" s="57" t="s">
        <v>323</v>
      </c>
      <c r="C136" s="57" t="s">
        <v>324</v>
      </c>
      <c r="D136" s="59">
        <v>2012.0</v>
      </c>
      <c r="E136" s="57" t="s">
        <v>20</v>
      </c>
    </row>
    <row r="137" ht="12.75" customHeight="1">
      <c r="A137" s="57" t="s">
        <v>317</v>
      </c>
      <c r="B137" s="57" t="s">
        <v>325</v>
      </c>
      <c r="C137" s="57" t="s">
        <v>326</v>
      </c>
      <c r="D137" s="59">
        <v>2013.0</v>
      </c>
      <c r="E137" s="57" t="s">
        <v>82</v>
      </c>
    </row>
    <row r="138" ht="12.75" customHeight="1">
      <c r="A138" s="57" t="s">
        <v>317</v>
      </c>
      <c r="B138" s="57" t="s">
        <v>327</v>
      </c>
      <c r="C138" s="57" t="s">
        <v>328</v>
      </c>
      <c r="D138" s="59">
        <v>2014.0</v>
      </c>
      <c r="E138" s="57" t="s">
        <v>20</v>
      </c>
    </row>
    <row r="139" ht="12.75" customHeight="1">
      <c r="A139" s="57" t="s">
        <v>317</v>
      </c>
      <c r="B139" s="57" t="s">
        <v>136</v>
      </c>
      <c r="C139" s="57" t="s">
        <v>329</v>
      </c>
      <c r="D139" s="59">
        <v>2013.0</v>
      </c>
      <c r="E139" s="57" t="s">
        <v>82</v>
      </c>
    </row>
    <row r="140" ht="12.75" customHeight="1">
      <c r="A140" s="57" t="s">
        <v>317</v>
      </c>
      <c r="B140" s="57" t="s">
        <v>330</v>
      </c>
      <c r="C140" s="57" t="s">
        <v>331</v>
      </c>
      <c r="D140" s="59">
        <v>2013.0</v>
      </c>
      <c r="E140" s="57" t="s">
        <v>82</v>
      </c>
    </row>
    <row r="141" ht="12.75" customHeight="1">
      <c r="A141" s="57" t="s">
        <v>317</v>
      </c>
      <c r="B141" s="57" t="s">
        <v>239</v>
      </c>
      <c r="C141" s="57" t="s">
        <v>332</v>
      </c>
      <c r="D141" s="59">
        <v>2013.0</v>
      </c>
      <c r="E141" s="57" t="s">
        <v>82</v>
      </c>
    </row>
    <row r="142" ht="12.75" customHeight="1">
      <c r="A142" s="57" t="s">
        <v>317</v>
      </c>
      <c r="B142" s="57" t="s">
        <v>333</v>
      </c>
      <c r="C142" s="57" t="s">
        <v>112</v>
      </c>
      <c r="D142" s="59">
        <v>2013.0</v>
      </c>
      <c r="E142" s="57" t="s">
        <v>82</v>
      </c>
    </row>
    <row r="143" ht="12.75" customHeight="1">
      <c r="A143" s="57" t="s">
        <v>317</v>
      </c>
      <c r="B143" s="57" t="s">
        <v>91</v>
      </c>
      <c r="C143" s="57" t="s">
        <v>334</v>
      </c>
      <c r="D143" s="59">
        <v>2014.0</v>
      </c>
      <c r="E143" s="57" t="s">
        <v>82</v>
      </c>
    </row>
    <row r="144" ht="12.75" customHeight="1">
      <c r="A144" s="57" t="s">
        <v>317</v>
      </c>
      <c r="B144" s="57" t="s">
        <v>247</v>
      </c>
      <c r="C144" s="57" t="s">
        <v>335</v>
      </c>
      <c r="D144" s="59">
        <v>2013.0</v>
      </c>
      <c r="E144" s="57" t="s">
        <v>20</v>
      </c>
    </row>
    <row r="145" ht="12.75" customHeight="1">
      <c r="A145" s="57" t="s">
        <v>317</v>
      </c>
      <c r="B145" s="57" t="s">
        <v>336</v>
      </c>
      <c r="C145" s="57" t="s">
        <v>180</v>
      </c>
      <c r="D145" s="59">
        <v>2014.0</v>
      </c>
      <c r="E145" s="57" t="s">
        <v>82</v>
      </c>
    </row>
    <row r="146" ht="12.75" customHeight="1">
      <c r="A146" s="57" t="s">
        <v>317</v>
      </c>
      <c r="B146" s="57" t="s">
        <v>337</v>
      </c>
      <c r="C146" s="57" t="s">
        <v>175</v>
      </c>
      <c r="D146" s="59">
        <v>2013.0</v>
      </c>
      <c r="E146" s="57" t="s">
        <v>82</v>
      </c>
    </row>
    <row r="147" ht="12.75" customHeight="1">
      <c r="A147" s="57" t="s">
        <v>317</v>
      </c>
      <c r="B147" s="57" t="s">
        <v>338</v>
      </c>
      <c r="C147" s="57" t="s">
        <v>339</v>
      </c>
      <c r="D147" s="59">
        <v>2014.0</v>
      </c>
      <c r="E147" s="57" t="s">
        <v>20</v>
      </c>
    </row>
    <row r="148" ht="12.75" customHeight="1">
      <c r="A148" s="57" t="s">
        <v>317</v>
      </c>
      <c r="B148" s="57" t="s">
        <v>340</v>
      </c>
      <c r="C148" s="57" t="s">
        <v>341</v>
      </c>
      <c r="D148" s="59">
        <v>2014.0</v>
      </c>
      <c r="E148" s="57" t="s">
        <v>20</v>
      </c>
    </row>
    <row r="149" ht="12.75" customHeight="1">
      <c r="A149" s="57" t="s">
        <v>317</v>
      </c>
      <c r="B149" s="57" t="s">
        <v>342</v>
      </c>
      <c r="C149" s="57" t="s">
        <v>343</v>
      </c>
      <c r="D149" s="59">
        <v>2013.0</v>
      </c>
      <c r="E149" s="57" t="s">
        <v>82</v>
      </c>
    </row>
    <row r="150" ht="12.75" customHeight="1">
      <c r="A150" s="57" t="s">
        <v>317</v>
      </c>
      <c r="B150" s="57" t="s">
        <v>344</v>
      </c>
      <c r="C150" s="57" t="s">
        <v>345</v>
      </c>
      <c r="D150" s="59">
        <v>2013.0</v>
      </c>
      <c r="E150" s="57" t="s">
        <v>20</v>
      </c>
    </row>
    <row r="151" ht="12.75" customHeight="1">
      <c r="A151" s="57" t="s">
        <v>317</v>
      </c>
      <c r="B151" s="57" t="s">
        <v>346</v>
      </c>
      <c r="C151" s="57" t="s">
        <v>347</v>
      </c>
      <c r="D151" s="59">
        <v>2014.0</v>
      </c>
      <c r="E151" s="57" t="s">
        <v>20</v>
      </c>
    </row>
    <row r="152" ht="12.75" customHeight="1">
      <c r="A152" s="57" t="s">
        <v>317</v>
      </c>
      <c r="B152" s="57" t="s">
        <v>348</v>
      </c>
      <c r="C152" s="57" t="s">
        <v>349</v>
      </c>
      <c r="D152" s="59">
        <v>2013.0</v>
      </c>
      <c r="E152" s="57" t="s">
        <v>82</v>
      </c>
    </row>
    <row r="153" ht="12.75" customHeight="1">
      <c r="A153" s="57" t="s">
        <v>317</v>
      </c>
      <c r="B153" s="57" t="s">
        <v>350</v>
      </c>
      <c r="C153" s="57" t="s">
        <v>351</v>
      </c>
      <c r="D153" s="59">
        <v>2014.0</v>
      </c>
      <c r="E153" s="57" t="s">
        <v>20</v>
      </c>
    </row>
    <row r="154" ht="12.75" customHeight="1">
      <c r="A154" s="57" t="s">
        <v>317</v>
      </c>
      <c r="B154" s="57" t="s">
        <v>352</v>
      </c>
      <c r="C154" s="57" t="s">
        <v>353</v>
      </c>
      <c r="D154" s="59">
        <v>2014.0</v>
      </c>
      <c r="E154" s="57" t="s">
        <v>82</v>
      </c>
    </row>
    <row r="155" ht="12.75" customHeight="1">
      <c r="A155" s="57" t="s">
        <v>317</v>
      </c>
      <c r="B155" s="57" t="s">
        <v>354</v>
      </c>
      <c r="C155" s="57" t="s">
        <v>355</v>
      </c>
      <c r="D155" s="59">
        <v>2014.0</v>
      </c>
      <c r="E155" s="57" t="s">
        <v>20</v>
      </c>
    </row>
    <row r="156" ht="12.75" customHeight="1">
      <c r="A156" s="57" t="s">
        <v>317</v>
      </c>
      <c r="B156" s="57" t="s">
        <v>356</v>
      </c>
      <c r="C156" s="57" t="s">
        <v>357</v>
      </c>
      <c r="D156" s="59">
        <v>2014.0</v>
      </c>
      <c r="E156" s="57" t="s">
        <v>20</v>
      </c>
    </row>
    <row r="157" ht="12.75" customHeight="1">
      <c r="A157" s="57" t="s">
        <v>317</v>
      </c>
      <c r="B157" s="57" t="s">
        <v>358</v>
      </c>
      <c r="C157" s="57" t="s">
        <v>359</v>
      </c>
      <c r="D157" s="59">
        <v>2013.0</v>
      </c>
      <c r="E157" s="57" t="s">
        <v>82</v>
      </c>
    </row>
    <row r="158" ht="12.75" customHeight="1">
      <c r="A158" s="57" t="s">
        <v>317</v>
      </c>
      <c r="B158" s="57" t="s">
        <v>360</v>
      </c>
      <c r="C158" s="57" t="s">
        <v>361</v>
      </c>
      <c r="D158" s="59">
        <v>2013.0</v>
      </c>
      <c r="E158" s="57" t="s">
        <v>82</v>
      </c>
    </row>
    <row r="159" ht="12.75" customHeight="1">
      <c r="A159" s="57" t="s">
        <v>317</v>
      </c>
      <c r="B159" s="57" t="s">
        <v>204</v>
      </c>
      <c r="C159" s="57" t="s">
        <v>362</v>
      </c>
      <c r="D159" s="59">
        <v>2013.0</v>
      </c>
      <c r="E159" s="57" t="s">
        <v>82</v>
      </c>
    </row>
    <row r="160" ht="12.75" customHeight="1">
      <c r="A160" s="57" t="s">
        <v>317</v>
      </c>
      <c r="B160" s="57" t="s">
        <v>363</v>
      </c>
      <c r="C160" s="57" t="s">
        <v>364</v>
      </c>
      <c r="D160" s="59">
        <v>2013.0</v>
      </c>
      <c r="E160" s="57" t="s">
        <v>82</v>
      </c>
    </row>
    <row r="161" ht="12.75" customHeight="1">
      <c r="A161" s="57" t="s">
        <v>317</v>
      </c>
      <c r="B161" s="57" t="s">
        <v>365</v>
      </c>
      <c r="C161" s="57" t="s">
        <v>366</v>
      </c>
      <c r="D161" s="59">
        <v>2013.0</v>
      </c>
      <c r="E161" s="57" t="s">
        <v>20</v>
      </c>
    </row>
    <row r="162" ht="12.75" customHeight="1">
      <c r="A162" s="57" t="s">
        <v>317</v>
      </c>
      <c r="B162" s="57" t="s">
        <v>367</v>
      </c>
      <c r="C162" s="57" t="s">
        <v>368</v>
      </c>
      <c r="D162" s="59">
        <v>2013.0</v>
      </c>
      <c r="E162" s="57" t="s">
        <v>82</v>
      </c>
    </row>
    <row r="163" ht="12.75" customHeight="1">
      <c r="A163" s="57" t="s">
        <v>369</v>
      </c>
      <c r="B163" s="57" t="s">
        <v>370</v>
      </c>
      <c r="C163" s="57" t="s">
        <v>326</v>
      </c>
      <c r="D163" s="59">
        <v>2013.0</v>
      </c>
      <c r="E163" s="57" t="s">
        <v>82</v>
      </c>
    </row>
    <row r="164" ht="12.75" customHeight="1">
      <c r="A164" s="57" t="s">
        <v>369</v>
      </c>
      <c r="B164" s="57" t="s">
        <v>371</v>
      </c>
      <c r="C164" s="57" t="s">
        <v>372</v>
      </c>
      <c r="D164" s="59">
        <v>2013.0</v>
      </c>
      <c r="E164" s="57" t="s">
        <v>82</v>
      </c>
    </row>
    <row r="165" ht="12.75" customHeight="1">
      <c r="A165" s="57" t="s">
        <v>369</v>
      </c>
      <c r="B165" s="57" t="s">
        <v>373</v>
      </c>
      <c r="C165" s="57" t="s">
        <v>374</v>
      </c>
      <c r="D165" s="59">
        <v>2013.0</v>
      </c>
      <c r="E165" s="57" t="s">
        <v>20</v>
      </c>
    </row>
    <row r="166" ht="12.75" customHeight="1">
      <c r="A166" s="57" t="s">
        <v>369</v>
      </c>
      <c r="B166" s="57" t="s">
        <v>176</v>
      </c>
      <c r="C166" s="57" t="s">
        <v>375</v>
      </c>
      <c r="D166" s="59">
        <v>2013.0</v>
      </c>
      <c r="E166" s="57" t="s">
        <v>82</v>
      </c>
    </row>
    <row r="167" ht="12.75" customHeight="1">
      <c r="A167" s="57" t="s">
        <v>369</v>
      </c>
      <c r="B167" s="57" t="s">
        <v>376</v>
      </c>
      <c r="C167" s="57" t="s">
        <v>377</v>
      </c>
      <c r="D167" s="59">
        <v>2013.0</v>
      </c>
      <c r="E167" s="57" t="s">
        <v>82</v>
      </c>
    </row>
    <row r="168" ht="12.75" customHeight="1">
      <c r="A168" s="57" t="s">
        <v>369</v>
      </c>
      <c r="B168" s="57" t="s">
        <v>378</v>
      </c>
      <c r="C168" s="57" t="s">
        <v>379</v>
      </c>
      <c r="D168" s="59">
        <v>2013.0</v>
      </c>
      <c r="E168" s="57" t="s">
        <v>82</v>
      </c>
    </row>
    <row r="169" ht="12.75" customHeight="1">
      <c r="A169" s="57" t="s">
        <v>369</v>
      </c>
      <c r="B169" s="57" t="s">
        <v>179</v>
      </c>
      <c r="C169" s="57" t="s">
        <v>380</v>
      </c>
      <c r="D169" s="59">
        <v>2012.0</v>
      </c>
      <c r="E169" s="57" t="s">
        <v>20</v>
      </c>
    </row>
    <row r="170" ht="12.75" customHeight="1">
      <c r="A170" s="57" t="s">
        <v>369</v>
      </c>
      <c r="B170" s="57" t="s">
        <v>381</v>
      </c>
      <c r="C170" s="57" t="s">
        <v>382</v>
      </c>
      <c r="D170" s="59">
        <v>2013.0</v>
      </c>
      <c r="E170" s="57" t="s">
        <v>82</v>
      </c>
    </row>
    <row r="171" ht="12.75" customHeight="1">
      <c r="A171" s="57" t="s">
        <v>369</v>
      </c>
      <c r="B171" s="57" t="s">
        <v>383</v>
      </c>
      <c r="C171" s="57" t="s">
        <v>384</v>
      </c>
      <c r="D171" s="59">
        <v>2013.0</v>
      </c>
      <c r="E171" s="57" t="s">
        <v>82</v>
      </c>
    </row>
    <row r="172" ht="12.75" customHeight="1">
      <c r="A172" s="57" t="s">
        <v>369</v>
      </c>
      <c r="B172" s="57" t="s">
        <v>385</v>
      </c>
      <c r="C172" s="57" t="s">
        <v>386</v>
      </c>
      <c r="D172" s="59">
        <v>2013.0</v>
      </c>
      <c r="E172" s="57" t="s">
        <v>20</v>
      </c>
    </row>
    <row r="173" ht="12.75" customHeight="1">
      <c r="A173" s="57" t="s">
        <v>369</v>
      </c>
      <c r="B173" s="57" t="s">
        <v>387</v>
      </c>
      <c r="C173" s="57" t="s">
        <v>388</v>
      </c>
      <c r="D173" s="59">
        <v>2012.0</v>
      </c>
      <c r="E173" s="57" t="s">
        <v>20</v>
      </c>
    </row>
    <row r="174" ht="12.75" customHeight="1">
      <c r="A174" s="57" t="s">
        <v>369</v>
      </c>
      <c r="B174" s="57" t="s">
        <v>338</v>
      </c>
      <c r="C174" s="57" t="s">
        <v>220</v>
      </c>
      <c r="D174" s="59">
        <v>2012.0</v>
      </c>
      <c r="E174" s="57" t="s">
        <v>82</v>
      </c>
    </row>
    <row r="175" ht="12.75" customHeight="1">
      <c r="A175" s="57" t="s">
        <v>369</v>
      </c>
      <c r="B175" s="57" t="s">
        <v>389</v>
      </c>
      <c r="C175" s="57" t="s">
        <v>390</v>
      </c>
      <c r="D175" s="59">
        <v>2013.0</v>
      </c>
      <c r="E175" s="57" t="s">
        <v>82</v>
      </c>
    </row>
    <row r="176" ht="12.75" customHeight="1">
      <c r="A176" s="57" t="s">
        <v>369</v>
      </c>
      <c r="B176" s="57" t="s">
        <v>391</v>
      </c>
      <c r="C176" s="57" t="s">
        <v>392</v>
      </c>
      <c r="D176" s="59">
        <v>2012.0</v>
      </c>
      <c r="E176" s="57" t="s">
        <v>20</v>
      </c>
    </row>
    <row r="177" ht="12.75" customHeight="1">
      <c r="A177" s="57" t="s">
        <v>369</v>
      </c>
      <c r="B177" s="57" t="s">
        <v>348</v>
      </c>
      <c r="C177" s="57" t="s">
        <v>393</v>
      </c>
      <c r="D177" s="59">
        <v>2012.0</v>
      </c>
      <c r="E177" s="57" t="s">
        <v>82</v>
      </c>
    </row>
    <row r="178" ht="12.75" customHeight="1">
      <c r="A178" s="57" t="s">
        <v>369</v>
      </c>
      <c r="B178" s="57" t="s">
        <v>394</v>
      </c>
      <c r="C178" s="57" t="s">
        <v>395</v>
      </c>
      <c r="D178" s="59">
        <v>2013.0</v>
      </c>
      <c r="E178" s="57" t="s">
        <v>20</v>
      </c>
    </row>
    <row r="179" ht="12.75" customHeight="1">
      <c r="A179" s="57" t="s">
        <v>369</v>
      </c>
      <c r="B179" s="57" t="s">
        <v>302</v>
      </c>
      <c r="C179" s="57" t="s">
        <v>396</v>
      </c>
      <c r="D179" s="59">
        <v>2011.0</v>
      </c>
      <c r="E179" s="57" t="s">
        <v>82</v>
      </c>
    </row>
    <row r="180" ht="12.75" customHeight="1">
      <c r="A180" s="57" t="s">
        <v>369</v>
      </c>
      <c r="B180" s="57" t="s">
        <v>397</v>
      </c>
      <c r="C180" s="57" t="s">
        <v>398</v>
      </c>
      <c r="D180" s="59">
        <v>2013.0</v>
      </c>
      <c r="E180" s="57" t="s">
        <v>82</v>
      </c>
    </row>
    <row r="181" ht="12.75" customHeight="1">
      <c r="A181" s="57" t="s">
        <v>369</v>
      </c>
      <c r="B181" s="57" t="s">
        <v>397</v>
      </c>
      <c r="C181" s="57" t="s">
        <v>368</v>
      </c>
      <c r="D181" s="59">
        <v>2013.0</v>
      </c>
      <c r="E181" s="57" t="s">
        <v>82</v>
      </c>
    </row>
    <row r="182" ht="12.75" customHeight="1">
      <c r="A182" s="57" t="s">
        <v>369</v>
      </c>
      <c r="B182" s="57" t="s">
        <v>399</v>
      </c>
      <c r="C182" s="57" t="s">
        <v>400</v>
      </c>
      <c r="D182" s="59">
        <v>2012.0</v>
      </c>
      <c r="E182" s="57" t="s">
        <v>82</v>
      </c>
    </row>
    <row r="183" ht="12.75" customHeight="1">
      <c r="A183" s="57" t="s">
        <v>369</v>
      </c>
      <c r="B183" s="57" t="s">
        <v>401</v>
      </c>
      <c r="C183" s="57" t="s">
        <v>402</v>
      </c>
      <c r="D183" s="59">
        <v>2012.0</v>
      </c>
      <c r="E183" s="57" t="s">
        <v>82</v>
      </c>
    </row>
    <row r="184" ht="12.75" customHeight="1">
      <c r="A184" s="57" t="s">
        <v>369</v>
      </c>
      <c r="B184" s="57" t="s">
        <v>403</v>
      </c>
      <c r="C184" s="57" t="s">
        <v>404</v>
      </c>
      <c r="D184" s="59">
        <v>2011.0</v>
      </c>
      <c r="E184" s="57" t="s">
        <v>82</v>
      </c>
    </row>
    <row r="185" ht="12.75" customHeight="1">
      <c r="A185" s="57" t="s">
        <v>405</v>
      </c>
      <c r="B185" s="57" t="s">
        <v>406</v>
      </c>
      <c r="C185" s="57" t="s">
        <v>407</v>
      </c>
      <c r="D185" s="59">
        <v>2011.0</v>
      </c>
      <c r="E185" s="57" t="s">
        <v>82</v>
      </c>
    </row>
    <row r="186" ht="12.75" customHeight="1">
      <c r="A186" s="57" t="s">
        <v>405</v>
      </c>
      <c r="B186" s="57" t="s">
        <v>408</v>
      </c>
      <c r="C186" s="57" t="s">
        <v>409</v>
      </c>
      <c r="D186" s="59">
        <v>2013.0</v>
      </c>
      <c r="E186" s="57" t="s">
        <v>20</v>
      </c>
    </row>
    <row r="187" ht="12.75" customHeight="1">
      <c r="A187" s="57" t="s">
        <v>405</v>
      </c>
      <c r="B187" s="57" t="s">
        <v>410</v>
      </c>
      <c r="C187" s="57" t="s">
        <v>411</v>
      </c>
      <c r="D187" s="59">
        <v>2012.0</v>
      </c>
      <c r="E187" s="57" t="s">
        <v>20</v>
      </c>
    </row>
    <row r="188" ht="12.75" customHeight="1">
      <c r="A188" s="57" t="s">
        <v>405</v>
      </c>
      <c r="B188" s="57" t="s">
        <v>412</v>
      </c>
      <c r="C188" s="57" t="s">
        <v>413</v>
      </c>
      <c r="D188" s="59">
        <v>2013.0</v>
      </c>
      <c r="E188" s="57" t="s">
        <v>20</v>
      </c>
    </row>
    <row r="189" ht="12.75" customHeight="1">
      <c r="A189" s="57" t="s">
        <v>405</v>
      </c>
      <c r="B189" s="57" t="s">
        <v>414</v>
      </c>
      <c r="C189" s="57" t="s">
        <v>415</v>
      </c>
      <c r="D189" s="59">
        <v>2013.0</v>
      </c>
      <c r="E189" s="57" t="s">
        <v>20</v>
      </c>
    </row>
    <row r="190" ht="12.75" customHeight="1">
      <c r="A190" s="57" t="s">
        <v>405</v>
      </c>
      <c r="B190" s="57" t="s">
        <v>138</v>
      </c>
      <c r="C190" s="57" t="s">
        <v>416</v>
      </c>
      <c r="D190" s="59">
        <v>2012.0</v>
      </c>
      <c r="E190" s="57" t="s">
        <v>20</v>
      </c>
    </row>
    <row r="191" ht="12.75" customHeight="1">
      <c r="A191" s="57" t="s">
        <v>405</v>
      </c>
      <c r="B191" s="57" t="s">
        <v>417</v>
      </c>
      <c r="C191" s="57" t="s">
        <v>133</v>
      </c>
      <c r="D191" s="59">
        <v>2013.0</v>
      </c>
      <c r="E191" s="57" t="s">
        <v>20</v>
      </c>
    </row>
    <row r="192" ht="12.75" customHeight="1">
      <c r="A192" s="57" t="s">
        <v>405</v>
      </c>
      <c r="B192" s="57" t="s">
        <v>418</v>
      </c>
      <c r="C192" s="57" t="s">
        <v>122</v>
      </c>
      <c r="D192" s="59">
        <v>2012.0</v>
      </c>
      <c r="E192" s="57" t="s">
        <v>82</v>
      </c>
    </row>
    <row r="193" ht="12.75" customHeight="1">
      <c r="A193" s="57" t="s">
        <v>405</v>
      </c>
      <c r="B193" s="57" t="s">
        <v>419</v>
      </c>
      <c r="C193" s="57" t="s">
        <v>420</v>
      </c>
      <c r="D193" s="59">
        <v>2013.0</v>
      </c>
      <c r="E193" s="57" t="s">
        <v>20</v>
      </c>
    </row>
    <row r="194" ht="12.75" customHeight="1">
      <c r="A194" s="57" t="s">
        <v>405</v>
      </c>
      <c r="B194" s="57" t="s">
        <v>421</v>
      </c>
      <c r="C194" s="57" t="s">
        <v>422</v>
      </c>
      <c r="D194" s="59">
        <v>2012.0</v>
      </c>
      <c r="E194" s="57" t="s">
        <v>20</v>
      </c>
    </row>
    <row r="195" ht="12.75" customHeight="1">
      <c r="A195" s="57" t="s">
        <v>405</v>
      </c>
      <c r="B195" s="57" t="s">
        <v>247</v>
      </c>
      <c r="C195" s="57" t="s">
        <v>423</v>
      </c>
      <c r="D195" s="59">
        <v>2012.0</v>
      </c>
      <c r="E195" s="57" t="s">
        <v>20</v>
      </c>
    </row>
    <row r="196" ht="12.75" customHeight="1">
      <c r="A196" s="57" t="s">
        <v>405</v>
      </c>
      <c r="B196" s="57" t="s">
        <v>97</v>
      </c>
      <c r="C196" s="57" t="s">
        <v>141</v>
      </c>
      <c r="D196" s="59">
        <v>2013.0</v>
      </c>
      <c r="E196" s="57" t="s">
        <v>20</v>
      </c>
    </row>
    <row r="197" ht="12.75" customHeight="1">
      <c r="A197" s="57" t="s">
        <v>405</v>
      </c>
      <c r="B197" s="57" t="s">
        <v>424</v>
      </c>
      <c r="C197" s="57" t="s">
        <v>186</v>
      </c>
      <c r="D197" s="59">
        <v>2012.0</v>
      </c>
      <c r="E197" s="57" t="s">
        <v>82</v>
      </c>
    </row>
    <row r="198" ht="12.75" customHeight="1">
      <c r="A198" s="57" t="s">
        <v>405</v>
      </c>
      <c r="B198" s="57" t="s">
        <v>425</v>
      </c>
      <c r="C198" s="57" t="s">
        <v>395</v>
      </c>
      <c r="D198" s="59">
        <v>2013.0</v>
      </c>
      <c r="E198" s="57" t="s">
        <v>20</v>
      </c>
    </row>
    <row r="199" ht="12.75" customHeight="1">
      <c r="A199" s="57" t="s">
        <v>405</v>
      </c>
      <c r="B199" s="57" t="s">
        <v>426</v>
      </c>
      <c r="C199" s="57" t="s">
        <v>427</v>
      </c>
      <c r="D199" s="59">
        <v>2013.0</v>
      </c>
      <c r="E199" s="57" t="s">
        <v>82</v>
      </c>
    </row>
    <row r="200" ht="12.75" customHeight="1">
      <c r="A200" s="57" t="s">
        <v>405</v>
      </c>
      <c r="B200" s="57" t="s">
        <v>428</v>
      </c>
      <c r="C200" s="57" t="s">
        <v>429</v>
      </c>
      <c r="D200" s="59">
        <v>2012.0</v>
      </c>
      <c r="E200" s="57" t="s">
        <v>20</v>
      </c>
    </row>
    <row r="201" ht="12.75" customHeight="1">
      <c r="A201" s="57" t="s">
        <v>405</v>
      </c>
      <c r="B201" s="57" t="s">
        <v>430</v>
      </c>
      <c r="C201" s="57" t="s">
        <v>431</v>
      </c>
      <c r="D201" s="59">
        <v>2013.0</v>
      </c>
      <c r="E201" s="57" t="s">
        <v>20</v>
      </c>
    </row>
    <row r="202" ht="12.75" customHeight="1">
      <c r="A202" s="57" t="s">
        <v>405</v>
      </c>
      <c r="B202" s="57" t="s">
        <v>158</v>
      </c>
      <c r="C202" s="57" t="s">
        <v>432</v>
      </c>
      <c r="D202" s="59">
        <v>2012.0</v>
      </c>
      <c r="E202" s="57" t="s">
        <v>20</v>
      </c>
    </row>
    <row r="203" ht="12.75" customHeight="1">
      <c r="A203" s="57" t="s">
        <v>405</v>
      </c>
      <c r="B203" s="57" t="s">
        <v>433</v>
      </c>
      <c r="C203" s="57" t="s">
        <v>434</v>
      </c>
      <c r="D203" s="59">
        <v>2013.0</v>
      </c>
      <c r="E203" s="57" t="s">
        <v>20</v>
      </c>
    </row>
    <row r="204" ht="12.75" customHeight="1">
      <c r="A204" s="57" t="s">
        <v>405</v>
      </c>
      <c r="B204" s="57" t="s">
        <v>399</v>
      </c>
      <c r="C204" s="57" t="s">
        <v>435</v>
      </c>
      <c r="D204" s="59">
        <v>2013.0</v>
      </c>
      <c r="E204" s="57" t="s">
        <v>20</v>
      </c>
    </row>
    <row r="205" ht="12.75" customHeight="1">
      <c r="A205" s="57" t="s">
        <v>405</v>
      </c>
      <c r="B205" s="57" t="s">
        <v>436</v>
      </c>
      <c r="C205" s="57" t="s">
        <v>195</v>
      </c>
      <c r="D205" s="59">
        <v>2012.0</v>
      </c>
      <c r="E205" s="57" t="s">
        <v>82</v>
      </c>
    </row>
    <row r="206" ht="12.75" customHeight="1">
      <c r="A206" s="57" t="s">
        <v>405</v>
      </c>
      <c r="B206" s="57" t="s">
        <v>437</v>
      </c>
      <c r="C206" s="57" t="s">
        <v>188</v>
      </c>
      <c r="D206" s="59">
        <v>2013.0</v>
      </c>
      <c r="E206" s="57" t="s">
        <v>82</v>
      </c>
    </row>
    <row r="207" ht="12.75" customHeight="1">
      <c r="A207" s="57" t="s">
        <v>405</v>
      </c>
      <c r="B207" s="57" t="s">
        <v>438</v>
      </c>
      <c r="C207" s="57" t="s">
        <v>439</v>
      </c>
      <c r="D207" s="59">
        <v>2013.0</v>
      </c>
      <c r="E207" s="57" t="s">
        <v>82</v>
      </c>
    </row>
    <row r="208" ht="12.75" customHeight="1">
      <c r="A208" s="57" t="s">
        <v>405</v>
      </c>
      <c r="B208" s="57" t="s">
        <v>125</v>
      </c>
      <c r="C208" s="57" t="s">
        <v>102</v>
      </c>
      <c r="D208" s="59">
        <v>2013.0</v>
      </c>
      <c r="E208" s="57" t="s">
        <v>20</v>
      </c>
    </row>
    <row r="209" ht="12.75" customHeight="1">
      <c r="A209" s="57" t="s">
        <v>405</v>
      </c>
      <c r="B209" s="57" t="s">
        <v>440</v>
      </c>
      <c r="C209" s="57" t="s">
        <v>441</v>
      </c>
      <c r="D209" s="59">
        <v>2013.0</v>
      </c>
      <c r="E209" s="57" t="s">
        <v>20</v>
      </c>
    </row>
    <row r="210" ht="12.75" customHeight="1">
      <c r="A210" s="57" t="s">
        <v>405</v>
      </c>
      <c r="B210" s="57" t="s">
        <v>442</v>
      </c>
      <c r="C210" s="57" t="s">
        <v>443</v>
      </c>
      <c r="D210" s="59">
        <v>2013.0</v>
      </c>
      <c r="E210" s="57" t="s">
        <v>20</v>
      </c>
    </row>
    <row r="211" ht="12.75" customHeight="1">
      <c r="A211" s="57" t="s">
        <v>405</v>
      </c>
      <c r="B211" s="57" t="s">
        <v>208</v>
      </c>
      <c r="C211" s="57" t="s">
        <v>279</v>
      </c>
      <c r="D211" s="59">
        <v>2012.0</v>
      </c>
      <c r="E211" s="57" t="s">
        <v>82</v>
      </c>
    </row>
    <row r="212" ht="12.75" customHeight="1">
      <c r="A212" s="57" t="s">
        <v>444</v>
      </c>
      <c r="B212" s="57" t="s">
        <v>445</v>
      </c>
      <c r="C212" s="57" t="s">
        <v>273</v>
      </c>
      <c r="D212" s="59">
        <v>2011.0</v>
      </c>
      <c r="E212" s="57" t="s">
        <v>82</v>
      </c>
    </row>
    <row r="213" ht="12.75" customHeight="1">
      <c r="A213" s="57" t="s">
        <v>444</v>
      </c>
      <c r="B213" s="57" t="s">
        <v>446</v>
      </c>
      <c r="C213" s="57" t="s">
        <v>447</v>
      </c>
      <c r="D213" s="59">
        <v>2013.0</v>
      </c>
      <c r="E213" s="57" t="s">
        <v>82</v>
      </c>
    </row>
    <row r="214" ht="12.75" customHeight="1">
      <c r="A214" s="57" t="s">
        <v>444</v>
      </c>
      <c r="B214" s="57" t="s">
        <v>80</v>
      </c>
      <c r="C214" s="57" t="s">
        <v>448</v>
      </c>
      <c r="D214" s="59">
        <v>2013.0</v>
      </c>
      <c r="E214" s="57" t="s">
        <v>82</v>
      </c>
    </row>
    <row r="215" ht="12.75" customHeight="1">
      <c r="A215" s="57" t="s">
        <v>444</v>
      </c>
      <c r="B215" s="57" t="s">
        <v>371</v>
      </c>
      <c r="C215" s="57" t="s">
        <v>243</v>
      </c>
      <c r="D215" s="59">
        <v>2013.0</v>
      </c>
      <c r="E215" s="57" t="s">
        <v>82</v>
      </c>
    </row>
    <row r="216" ht="12.75" customHeight="1">
      <c r="A216" s="57" t="s">
        <v>444</v>
      </c>
      <c r="B216" s="57" t="s">
        <v>449</v>
      </c>
      <c r="C216" s="57" t="s">
        <v>450</v>
      </c>
      <c r="D216" s="59">
        <v>2012.0</v>
      </c>
      <c r="E216" s="57" t="s">
        <v>82</v>
      </c>
    </row>
    <row r="217" ht="12.75" customHeight="1">
      <c r="A217" s="57" t="s">
        <v>444</v>
      </c>
      <c r="B217" s="57" t="s">
        <v>451</v>
      </c>
      <c r="C217" s="57" t="s">
        <v>90</v>
      </c>
      <c r="D217" s="59">
        <v>2013.0</v>
      </c>
      <c r="E217" s="57" t="s">
        <v>82</v>
      </c>
    </row>
    <row r="218" ht="12.75" customHeight="1">
      <c r="A218" s="57" t="s">
        <v>444</v>
      </c>
      <c r="B218" s="57" t="s">
        <v>239</v>
      </c>
      <c r="C218" s="57" t="s">
        <v>170</v>
      </c>
      <c r="D218" s="59">
        <v>2013.0</v>
      </c>
      <c r="E218" s="57" t="s">
        <v>82</v>
      </c>
    </row>
    <row r="219" ht="12.75" customHeight="1">
      <c r="A219" s="57" t="s">
        <v>444</v>
      </c>
      <c r="B219" s="57" t="s">
        <v>452</v>
      </c>
      <c r="C219" s="57" t="s">
        <v>423</v>
      </c>
      <c r="D219" s="59">
        <v>2013.0</v>
      </c>
      <c r="E219" s="57" t="s">
        <v>20</v>
      </c>
    </row>
    <row r="220" ht="12.75" customHeight="1">
      <c r="A220" s="57" t="s">
        <v>444</v>
      </c>
      <c r="B220" s="57" t="s">
        <v>453</v>
      </c>
      <c r="C220" s="57" t="s">
        <v>326</v>
      </c>
      <c r="D220" s="59">
        <v>2012.0</v>
      </c>
      <c r="E220" s="57" t="s">
        <v>82</v>
      </c>
    </row>
    <row r="221" ht="12.75" customHeight="1">
      <c r="A221" s="57" t="s">
        <v>444</v>
      </c>
      <c r="B221" s="57" t="s">
        <v>247</v>
      </c>
      <c r="C221" s="57" t="s">
        <v>297</v>
      </c>
      <c r="D221" s="59">
        <v>2013.0</v>
      </c>
      <c r="E221" s="57" t="s">
        <v>20</v>
      </c>
    </row>
    <row r="222" ht="12.75" customHeight="1">
      <c r="A222" s="57" t="s">
        <v>444</v>
      </c>
      <c r="B222" s="57" t="s">
        <v>183</v>
      </c>
      <c r="C222" s="57" t="s">
        <v>454</v>
      </c>
      <c r="D222" s="59">
        <v>2012.0</v>
      </c>
      <c r="E222" s="57" t="s">
        <v>20</v>
      </c>
    </row>
    <row r="223" ht="12.75" customHeight="1">
      <c r="A223" s="57" t="s">
        <v>444</v>
      </c>
      <c r="B223" s="57" t="s">
        <v>292</v>
      </c>
      <c r="C223" s="57" t="s">
        <v>455</v>
      </c>
      <c r="D223" s="59">
        <v>2013.0</v>
      </c>
      <c r="E223" s="57" t="s">
        <v>82</v>
      </c>
    </row>
    <row r="224" ht="12.75" customHeight="1">
      <c r="A224" s="57" t="s">
        <v>444</v>
      </c>
      <c r="B224" s="57" t="s">
        <v>456</v>
      </c>
      <c r="C224" s="57" t="s">
        <v>124</v>
      </c>
      <c r="D224" s="59">
        <v>2013.0</v>
      </c>
      <c r="E224" s="57" t="s">
        <v>82</v>
      </c>
    </row>
    <row r="225" ht="12.75" customHeight="1">
      <c r="A225" s="57" t="s">
        <v>444</v>
      </c>
      <c r="B225" s="57" t="s">
        <v>457</v>
      </c>
      <c r="C225" s="57" t="s">
        <v>177</v>
      </c>
      <c r="D225" s="59">
        <v>2013.0</v>
      </c>
      <c r="E225" s="57" t="s">
        <v>82</v>
      </c>
    </row>
    <row r="226" ht="12.75" customHeight="1">
      <c r="A226" s="57" t="s">
        <v>444</v>
      </c>
      <c r="B226" s="57" t="s">
        <v>458</v>
      </c>
      <c r="C226" s="57" t="s">
        <v>372</v>
      </c>
      <c r="D226" s="59">
        <v>2013.0</v>
      </c>
      <c r="E226" s="57" t="s">
        <v>82</v>
      </c>
    </row>
    <row r="227" ht="12.75" customHeight="1">
      <c r="A227" s="57" t="s">
        <v>444</v>
      </c>
      <c r="B227" s="57" t="s">
        <v>307</v>
      </c>
      <c r="C227" s="57" t="s">
        <v>455</v>
      </c>
      <c r="D227" s="59">
        <v>2012.0</v>
      </c>
      <c r="E227" s="57" t="s">
        <v>82</v>
      </c>
    </row>
    <row r="228" ht="12.75" customHeight="1">
      <c r="A228" s="57" t="s">
        <v>444</v>
      </c>
      <c r="B228" s="57" t="s">
        <v>307</v>
      </c>
      <c r="C228" s="57" t="s">
        <v>450</v>
      </c>
      <c r="D228" s="59">
        <v>2012.0</v>
      </c>
      <c r="E228" s="57" t="s">
        <v>82</v>
      </c>
    </row>
    <row r="229" ht="12.75" customHeight="1">
      <c r="A229" s="57" t="s">
        <v>444</v>
      </c>
      <c r="B229" s="57" t="s">
        <v>459</v>
      </c>
      <c r="C229" s="57" t="s">
        <v>460</v>
      </c>
      <c r="D229" s="59">
        <v>2012.0</v>
      </c>
      <c r="E229" s="57" t="s">
        <v>20</v>
      </c>
    </row>
    <row r="230" ht="12.75" customHeight="1">
      <c r="A230" s="57" t="s">
        <v>444</v>
      </c>
      <c r="B230" s="57" t="s">
        <v>313</v>
      </c>
      <c r="C230" s="57" t="s">
        <v>461</v>
      </c>
      <c r="D230" s="59">
        <v>2013.0</v>
      </c>
      <c r="E230" s="57" t="s">
        <v>82</v>
      </c>
    </row>
    <row r="231" ht="12.75" customHeight="1">
      <c r="A231" s="57" t="s">
        <v>444</v>
      </c>
      <c r="B231" s="57" t="s">
        <v>208</v>
      </c>
      <c r="C231" s="57" t="s">
        <v>462</v>
      </c>
      <c r="D231" s="59">
        <v>2013.0</v>
      </c>
      <c r="E231" s="57" t="s">
        <v>20</v>
      </c>
    </row>
    <row r="232" ht="12.75" customHeight="1">
      <c r="A232" s="57" t="s">
        <v>444</v>
      </c>
      <c r="B232" s="57" t="s">
        <v>365</v>
      </c>
      <c r="C232" s="57" t="s">
        <v>126</v>
      </c>
      <c r="D232" s="59">
        <v>2013.0</v>
      </c>
      <c r="E232" s="57" t="s">
        <v>82</v>
      </c>
    </row>
    <row r="233" ht="12.75" customHeight="1">
      <c r="A233" s="57" t="s">
        <v>463</v>
      </c>
      <c r="B233" s="57" t="s">
        <v>464</v>
      </c>
      <c r="C233" s="57" t="s">
        <v>465</v>
      </c>
      <c r="D233" s="59">
        <v>2013.0</v>
      </c>
      <c r="E233" s="57" t="s">
        <v>82</v>
      </c>
    </row>
    <row r="234" ht="12.75" customHeight="1">
      <c r="A234" s="57" t="s">
        <v>463</v>
      </c>
      <c r="B234" s="57" t="s">
        <v>318</v>
      </c>
      <c r="C234" s="57" t="s">
        <v>466</v>
      </c>
      <c r="D234" s="59">
        <v>2013.0</v>
      </c>
      <c r="E234" s="57" t="s">
        <v>82</v>
      </c>
    </row>
    <row r="235" ht="12.75" customHeight="1">
      <c r="A235" s="57" t="s">
        <v>463</v>
      </c>
      <c r="B235" s="57" t="s">
        <v>467</v>
      </c>
      <c r="C235" s="57" t="s">
        <v>468</v>
      </c>
      <c r="D235" s="59">
        <v>2013.0</v>
      </c>
      <c r="E235" s="57" t="s">
        <v>20</v>
      </c>
    </row>
    <row r="236" ht="12.75" customHeight="1">
      <c r="A236" s="57" t="s">
        <v>463</v>
      </c>
      <c r="B236" s="57" t="s">
        <v>469</v>
      </c>
      <c r="C236" s="57" t="s">
        <v>470</v>
      </c>
      <c r="D236" s="59">
        <v>2013.0</v>
      </c>
      <c r="E236" s="57" t="s">
        <v>20</v>
      </c>
    </row>
    <row r="237" ht="12.75" customHeight="1">
      <c r="A237" s="57" t="s">
        <v>463</v>
      </c>
      <c r="B237" s="57" t="s">
        <v>471</v>
      </c>
      <c r="C237" s="57" t="s">
        <v>472</v>
      </c>
      <c r="D237" s="59">
        <v>2012.0</v>
      </c>
      <c r="E237" s="57" t="s">
        <v>82</v>
      </c>
    </row>
    <row r="238" ht="12.75" customHeight="1">
      <c r="A238" s="57" t="s">
        <v>463</v>
      </c>
      <c r="B238" s="57" t="s">
        <v>473</v>
      </c>
      <c r="C238" s="57" t="s">
        <v>474</v>
      </c>
      <c r="D238" s="59">
        <v>2013.0</v>
      </c>
      <c r="E238" s="57" t="s">
        <v>82</v>
      </c>
    </row>
    <row r="239" ht="12.75" customHeight="1">
      <c r="A239" s="57" t="s">
        <v>463</v>
      </c>
      <c r="B239" s="57" t="s">
        <v>475</v>
      </c>
      <c r="C239" s="57" t="s">
        <v>476</v>
      </c>
      <c r="D239" s="59">
        <v>2013.0</v>
      </c>
      <c r="E239" s="57" t="s">
        <v>82</v>
      </c>
    </row>
    <row r="240" ht="12.75" customHeight="1">
      <c r="A240" s="57" t="s">
        <v>463</v>
      </c>
      <c r="B240" s="57" t="s">
        <v>477</v>
      </c>
      <c r="C240" s="57" t="s">
        <v>478</v>
      </c>
      <c r="D240" s="59">
        <v>2012.0</v>
      </c>
      <c r="E240" s="57" t="s">
        <v>20</v>
      </c>
    </row>
    <row r="241" ht="12.75" customHeight="1">
      <c r="A241" s="57" t="s">
        <v>463</v>
      </c>
      <c r="B241" s="57" t="s">
        <v>272</v>
      </c>
      <c r="C241" s="57" t="s">
        <v>455</v>
      </c>
      <c r="D241" s="59">
        <v>2012.0</v>
      </c>
      <c r="E241" s="57" t="s">
        <v>82</v>
      </c>
    </row>
    <row r="242" ht="12.75" customHeight="1">
      <c r="A242" s="57" t="s">
        <v>463</v>
      </c>
      <c r="B242" s="57" t="s">
        <v>479</v>
      </c>
      <c r="C242" s="57" t="s">
        <v>480</v>
      </c>
      <c r="D242" s="59">
        <v>2013.0</v>
      </c>
      <c r="E242" s="57" t="s">
        <v>20</v>
      </c>
    </row>
    <row r="243" ht="12.75" customHeight="1">
      <c r="A243" s="57" t="s">
        <v>463</v>
      </c>
      <c r="B243" s="57" t="s">
        <v>481</v>
      </c>
      <c r="C243" s="57" t="s">
        <v>128</v>
      </c>
      <c r="D243" s="59">
        <v>2012.0</v>
      </c>
      <c r="E243" s="57" t="s">
        <v>20</v>
      </c>
    </row>
    <row r="244" ht="12.75" customHeight="1">
      <c r="A244" s="57" t="s">
        <v>463</v>
      </c>
      <c r="B244" s="57" t="s">
        <v>482</v>
      </c>
      <c r="C244" s="57" t="s">
        <v>141</v>
      </c>
      <c r="D244" s="59">
        <v>2013.0</v>
      </c>
      <c r="E244" s="57" t="s">
        <v>20</v>
      </c>
    </row>
    <row r="245" ht="12.75" customHeight="1">
      <c r="A245" s="57" t="s">
        <v>463</v>
      </c>
      <c r="B245" s="57" t="s">
        <v>483</v>
      </c>
      <c r="C245" s="57" t="s">
        <v>255</v>
      </c>
      <c r="D245" s="59">
        <v>2012.0</v>
      </c>
      <c r="E245" s="57" t="s">
        <v>82</v>
      </c>
    </row>
    <row r="246" ht="12.75" customHeight="1">
      <c r="A246" s="57" t="s">
        <v>463</v>
      </c>
      <c r="B246" s="57" t="s">
        <v>484</v>
      </c>
      <c r="C246" s="57" t="s">
        <v>131</v>
      </c>
      <c r="D246" s="59">
        <v>2012.0</v>
      </c>
      <c r="E246" s="57" t="s">
        <v>20</v>
      </c>
    </row>
    <row r="247" ht="12.75" customHeight="1">
      <c r="A247" s="57" t="s">
        <v>463</v>
      </c>
      <c r="B247" s="57" t="s">
        <v>97</v>
      </c>
      <c r="C247" s="57" t="s">
        <v>126</v>
      </c>
      <c r="D247" s="59">
        <v>2013.0</v>
      </c>
      <c r="E247" s="57" t="s">
        <v>82</v>
      </c>
    </row>
    <row r="248" ht="12.75" customHeight="1">
      <c r="A248" s="57" t="s">
        <v>463</v>
      </c>
      <c r="B248" s="57" t="s">
        <v>485</v>
      </c>
      <c r="C248" s="57" t="s">
        <v>226</v>
      </c>
      <c r="D248" s="59">
        <v>2012.0</v>
      </c>
      <c r="E248" s="57" t="s">
        <v>20</v>
      </c>
    </row>
    <row r="249" ht="12.75" customHeight="1">
      <c r="A249" s="57" t="s">
        <v>463</v>
      </c>
      <c r="B249" s="57" t="s">
        <v>486</v>
      </c>
      <c r="C249" s="57" t="s">
        <v>487</v>
      </c>
      <c r="D249" s="59">
        <v>2012.0</v>
      </c>
      <c r="E249" s="57" t="s">
        <v>82</v>
      </c>
    </row>
    <row r="250" ht="12.75" customHeight="1">
      <c r="A250" s="57" t="s">
        <v>463</v>
      </c>
      <c r="B250" s="57" t="s">
        <v>354</v>
      </c>
      <c r="C250" s="57" t="s">
        <v>297</v>
      </c>
      <c r="D250" s="59">
        <v>2012.0</v>
      </c>
      <c r="E250" s="57" t="s">
        <v>20</v>
      </c>
    </row>
    <row r="251" ht="12.75" customHeight="1">
      <c r="A251" s="57" t="s">
        <v>463</v>
      </c>
      <c r="B251" s="57" t="s">
        <v>488</v>
      </c>
      <c r="C251" s="57" t="s">
        <v>489</v>
      </c>
      <c r="D251" s="59">
        <v>2013.0</v>
      </c>
      <c r="E251" s="57" t="s">
        <v>82</v>
      </c>
    </row>
    <row r="252" ht="12.75" customHeight="1">
      <c r="A252" s="57" t="s">
        <v>463</v>
      </c>
      <c r="B252" s="57" t="s">
        <v>490</v>
      </c>
      <c r="C252" s="57" t="s">
        <v>491</v>
      </c>
      <c r="D252" s="59">
        <v>2011.0</v>
      </c>
      <c r="E252" s="57" t="s">
        <v>82</v>
      </c>
    </row>
    <row r="253" ht="12.75" customHeight="1">
      <c r="A253" s="57" t="s">
        <v>463</v>
      </c>
      <c r="B253" s="57" t="s">
        <v>492</v>
      </c>
      <c r="C253" s="57" t="s">
        <v>141</v>
      </c>
      <c r="D253" s="59">
        <v>2013.0</v>
      </c>
      <c r="E253" s="57" t="s">
        <v>20</v>
      </c>
    </row>
    <row r="254" ht="12.75" customHeight="1">
      <c r="A254" s="57" t="s">
        <v>493</v>
      </c>
      <c r="B254" s="57" t="s">
        <v>494</v>
      </c>
      <c r="C254" s="57" t="s">
        <v>495</v>
      </c>
      <c r="D254" s="59">
        <v>2012.0</v>
      </c>
      <c r="E254" s="57" t="s">
        <v>82</v>
      </c>
    </row>
    <row r="255" ht="12.75" customHeight="1">
      <c r="A255" s="57" t="s">
        <v>493</v>
      </c>
      <c r="B255" s="57" t="s">
        <v>496</v>
      </c>
      <c r="C255" s="57" t="s">
        <v>92</v>
      </c>
      <c r="D255" s="59">
        <v>2012.0</v>
      </c>
      <c r="E255" s="57" t="s">
        <v>20</v>
      </c>
    </row>
    <row r="256" ht="12.75" customHeight="1">
      <c r="A256" s="57" t="s">
        <v>493</v>
      </c>
      <c r="B256" s="57" t="s">
        <v>497</v>
      </c>
      <c r="C256" s="57" t="s">
        <v>498</v>
      </c>
      <c r="D256" s="59">
        <v>2011.0</v>
      </c>
      <c r="E256" s="57" t="s">
        <v>82</v>
      </c>
    </row>
    <row r="257" ht="12.75" customHeight="1">
      <c r="A257" s="57" t="s">
        <v>493</v>
      </c>
      <c r="B257" s="57" t="s">
        <v>499</v>
      </c>
      <c r="C257" s="57" t="s">
        <v>500</v>
      </c>
      <c r="D257" s="59">
        <v>2011.0</v>
      </c>
      <c r="E257" s="57" t="s">
        <v>20</v>
      </c>
    </row>
    <row r="258" ht="12.75" customHeight="1">
      <c r="A258" s="57" t="s">
        <v>493</v>
      </c>
      <c r="B258" s="57" t="s">
        <v>225</v>
      </c>
      <c r="C258" s="57" t="s">
        <v>501</v>
      </c>
      <c r="D258" s="59">
        <v>2011.0</v>
      </c>
      <c r="E258" s="57" t="s">
        <v>82</v>
      </c>
    </row>
    <row r="259" ht="12.75" customHeight="1">
      <c r="A259" s="57" t="s">
        <v>493</v>
      </c>
      <c r="B259" s="57" t="s">
        <v>371</v>
      </c>
      <c r="C259" s="57" t="s">
        <v>502</v>
      </c>
      <c r="D259" s="59">
        <v>2012.0</v>
      </c>
      <c r="E259" s="57" t="s">
        <v>20</v>
      </c>
    </row>
    <row r="260" ht="12.75" customHeight="1">
      <c r="A260" s="57" t="s">
        <v>493</v>
      </c>
      <c r="B260" s="57" t="s">
        <v>503</v>
      </c>
      <c r="C260" s="57" t="s">
        <v>504</v>
      </c>
      <c r="D260" s="59">
        <v>2011.0</v>
      </c>
      <c r="E260" s="57" t="s">
        <v>20</v>
      </c>
    </row>
    <row r="261" ht="12.75" customHeight="1">
      <c r="A261" s="57" t="s">
        <v>493</v>
      </c>
      <c r="B261" s="57" t="s">
        <v>418</v>
      </c>
      <c r="C261" s="57" t="s">
        <v>170</v>
      </c>
      <c r="D261" s="59">
        <v>2011.0</v>
      </c>
      <c r="E261" s="57" t="s">
        <v>82</v>
      </c>
    </row>
    <row r="262" ht="12.75" customHeight="1">
      <c r="A262" s="57" t="s">
        <v>493</v>
      </c>
      <c r="B262" s="57" t="s">
        <v>505</v>
      </c>
      <c r="C262" s="57" t="s">
        <v>506</v>
      </c>
      <c r="D262" s="59">
        <v>2012.0</v>
      </c>
      <c r="E262" s="57" t="s">
        <v>20</v>
      </c>
    </row>
    <row r="263" ht="12.75" customHeight="1">
      <c r="A263" s="57" t="s">
        <v>493</v>
      </c>
      <c r="B263" s="57" t="s">
        <v>507</v>
      </c>
      <c r="C263" s="57" t="s">
        <v>443</v>
      </c>
      <c r="D263" s="59">
        <v>2010.0</v>
      </c>
      <c r="E263" s="57" t="s">
        <v>20</v>
      </c>
    </row>
    <row r="264" ht="12.75" customHeight="1">
      <c r="A264" s="57" t="s">
        <v>493</v>
      </c>
      <c r="B264" s="57" t="s">
        <v>508</v>
      </c>
      <c r="C264" s="57" t="s">
        <v>509</v>
      </c>
      <c r="D264" s="59">
        <v>2012.0</v>
      </c>
      <c r="E264" s="57" t="s">
        <v>20</v>
      </c>
    </row>
    <row r="265" ht="12.75" customHeight="1">
      <c r="A265" s="57" t="s">
        <v>493</v>
      </c>
      <c r="B265" s="57" t="s">
        <v>510</v>
      </c>
      <c r="C265" s="57" t="s">
        <v>511</v>
      </c>
      <c r="D265" s="59">
        <v>2012.0</v>
      </c>
      <c r="E265" s="57" t="s">
        <v>82</v>
      </c>
    </row>
    <row r="266" ht="12.75" customHeight="1">
      <c r="A266" s="57" t="s">
        <v>493</v>
      </c>
      <c r="B266" s="57" t="s">
        <v>512</v>
      </c>
      <c r="C266" s="57" t="s">
        <v>513</v>
      </c>
      <c r="D266" s="59">
        <v>2012.0</v>
      </c>
      <c r="E266" s="57" t="s">
        <v>20</v>
      </c>
    </row>
    <row r="267" ht="12.75" customHeight="1">
      <c r="A267" s="57" t="s">
        <v>493</v>
      </c>
      <c r="B267" s="57" t="s">
        <v>514</v>
      </c>
      <c r="C267" s="57" t="s">
        <v>515</v>
      </c>
      <c r="D267" s="59">
        <v>2012.0</v>
      </c>
      <c r="E267" s="57" t="s">
        <v>20</v>
      </c>
    </row>
    <row r="268" ht="12.75" customHeight="1">
      <c r="A268" s="57" t="s">
        <v>493</v>
      </c>
      <c r="B268" s="57" t="s">
        <v>516</v>
      </c>
      <c r="C268" s="57" t="s">
        <v>517</v>
      </c>
      <c r="D268" s="59">
        <v>2011.0</v>
      </c>
      <c r="E268" s="57" t="s">
        <v>20</v>
      </c>
    </row>
    <row r="269" ht="12.75" customHeight="1">
      <c r="A269" s="57" t="s">
        <v>493</v>
      </c>
      <c r="B269" s="57" t="s">
        <v>101</v>
      </c>
      <c r="C269" s="57" t="s">
        <v>518</v>
      </c>
      <c r="D269" s="59">
        <v>2012.0</v>
      </c>
      <c r="E269" s="57" t="s">
        <v>20</v>
      </c>
    </row>
    <row r="270" ht="12.75" customHeight="1">
      <c r="A270" s="57" t="s">
        <v>493</v>
      </c>
      <c r="B270" s="57" t="s">
        <v>101</v>
      </c>
      <c r="C270" s="57" t="s">
        <v>461</v>
      </c>
      <c r="D270" s="59">
        <v>2012.0</v>
      </c>
      <c r="E270" s="57" t="s">
        <v>82</v>
      </c>
    </row>
    <row r="271" ht="12.75" customHeight="1">
      <c r="A271" s="57" t="s">
        <v>493</v>
      </c>
      <c r="B271" s="57" t="s">
        <v>519</v>
      </c>
      <c r="C271" s="57" t="s">
        <v>520</v>
      </c>
      <c r="D271" s="59">
        <v>2011.0</v>
      </c>
      <c r="E271" s="57" t="s">
        <v>82</v>
      </c>
    </row>
    <row r="272" ht="12.75" customHeight="1">
      <c r="A272" s="57" t="s">
        <v>493</v>
      </c>
      <c r="B272" s="57" t="s">
        <v>382</v>
      </c>
      <c r="C272" s="57" t="s">
        <v>249</v>
      </c>
      <c r="D272" s="59">
        <v>2012.0</v>
      </c>
      <c r="E272" s="57" t="s">
        <v>20</v>
      </c>
    </row>
    <row r="273" ht="12.75" customHeight="1">
      <c r="A273" s="57" t="s">
        <v>493</v>
      </c>
      <c r="B273" s="57" t="s">
        <v>521</v>
      </c>
      <c r="C273" s="57" t="s">
        <v>522</v>
      </c>
      <c r="D273" s="59">
        <v>2012.0</v>
      </c>
      <c r="E273" s="57" t="s">
        <v>82</v>
      </c>
    </row>
    <row r="274" ht="12.75" customHeight="1">
      <c r="A274" s="57" t="s">
        <v>493</v>
      </c>
      <c r="B274" s="57" t="s">
        <v>523</v>
      </c>
      <c r="C274" s="57" t="s">
        <v>524</v>
      </c>
      <c r="D274" s="59">
        <v>2012.0</v>
      </c>
      <c r="E274" s="57" t="s">
        <v>20</v>
      </c>
    </row>
    <row r="275" ht="12.75" customHeight="1">
      <c r="A275" s="57" t="s">
        <v>493</v>
      </c>
      <c r="B275" s="57" t="s">
        <v>525</v>
      </c>
      <c r="C275" s="57" t="s">
        <v>526</v>
      </c>
      <c r="D275" s="59">
        <v>2011.0</v>
      </c>
      <c r="E275" s="57" t="s">
        <v>82</v>
      </c>
    </row>
    <row r="276" ht="12.75" customHeight="1">
      <c r="A276" s="57" t="s">
        <v>493</v>
      </c>
      <c r="B276" s="57" t="s">
        <v>527</v>
      </c>
      <c r="C276" s="57" t="s">
        <v>528</v>
      </c>
      <c r="D276" s="59">
        <v>2012.0</v>
      </c>
      <c r="E276" s="57" t="s">
        <v>82</v>
      </c>
    </row>
    <row r="277" ht="12.75" customHeight="1">
      <c r="A277" s="57" t="s">
        <v>493</v>
      </c>
      <c r="B277" s="57" t="s">
        <v>115</v>
      </c>
      <c r="C277" s="57" t="s">
        <v>529</v>
      </c>
      <c r="D277" s="59">
        <v>2012.0</v>
      </c>
      <c r="E277" s="57" t="s">
        <v>20</v>
      </c>
    </row>
    <row r="278" ht="12.75" customHeight="1">
      <c r="A278" s="57" t="s">
        <v>493</v>
      </c>
      <c r="B278" s="57" t="s">
        <v>530</v>
      </c>
      <c r="C278" s="57" t="s">
        <v>116</v>
      </c>
      <c r="D278" s="59">
        <v>2012.0</v>
      </c>
      <c r="E278" s="57" t="s">
        <v>82</v>
      </c>
    </row>
    <row r="279" ht="12.75" customHeight="1">
      <c r="A279" s="57" t="s">
        <v>493</v>
      </c>
      <c r="B279" s="57" t="s">
        <v>531</v>
      </c>
      <c r="C279" s="57" t="s">
        <v>532</v>
      </c>
      <c r="D279" s="59">
        <v>2012.0</v>
      </c>
      <c r="E279" s="57" t="s">
        <v>20</v>
      </c>
    </row>
    <row r="280" ht="12.75" customHeight="1">
      <c r="A280" s="57" t="s">
        <v>533</v>
      </c>
      <c r="B280" s="57" t="s">
        <v>534</v>
      </c>
      <c r="C280" s="57" t="s">
        <v>535</v>
      </c>
      <c r="D280" s="59">
        <v>2012.0</v>
      </c>
      <c r="E280" s="57" t="s">
        <v>82</v>
      </c>
    </row>
    <row r="281" ht="12.75" customHeight="1">
      <c r="A281" s="57" t="s">
        <v>533</v>
      </c>
      <c r="B281" s="57" t="s">
        <v>536</v>
      </c>
      <c r="C281" s="57" t="s">
        <v>141</v>
      </c>
      <c r="D281" s="59">
        <v>2011.0</v>
      </c>
      <c r="E281" s="57" t="s">
        <v>20</v>
      </c>
    </row>
    <row r="282" ht="12.75" customHeight="1">
      <c r="A282" s="57" t="s">
        <v>533</v>
      </c>
      <c r="B282" s="57" t="s">
        <v>537</v>
      </c>
      <c r="C282" s="57" t="s">
        <v>538</v>
      </c>
      <c r="D282" s="59">
        <v>2011.0</v>
      </c>
      <c r="E282" s="57" t="s">
        <v>82</v>
      </c>
    </row>
    <row r="283" ht="12.75" customHeight="1">
      <c r="A283" s="57" t="s">
        <v>533</v>
      </c>
      <c r="B283" s="57" t="s">
        <v>276</v>
      </c>
      <c r="C283" s="57" t="s">
        <v>539</v>
      </c>
      <c r="D283" s="59">
        <v>2012.0</v>
      </c>
      <c r="E283" s="57" t="s">
        <v>82</v>
      </c>
    </row>
    <row r="284" ht="12.75" customHeight="1">
      <c r="A284" s="57" t="s">
        <v>533</v>
      </c>
      <c r="B284" s="57" t="s">
        <v>414</v>
      </c>
      <c r="C284" s="57" t="s">
        <v>540</v>
      </c>
      <c r="D284" s="59">
        <v>2011.0</v>
      </c>
      <c r="E284" s="57" t="s">
        <v>82</v>
      </c>
    </row>
    <row r="285" ht="12.75" customHeight="1">
      <c r="A285" s="57" t="s">
        <v>533</v>
      </c>
      <c r="B285" s="57" t="s">
        <v>541</v>
      </c>
      <c r="C285" s="57" t="s">
        <v>542</v>
      </c>
      <c r="D285" s="59">
        <v>2012.0</v>
      </c>
      <c r="E285" s="57" t="s">
        <v>20</v>
      </c>
    </row>
    <row r="286" ht="12.75" customHeight="1">
      <c r="A286" s="57" t="s">
        <v>533</v>
      </c>
      <c r="B286" s="57" t="s">
        <v>140</v>
      </c>
      <c r="C286" s="57" t="s">
        <v>543</v>
      </c>
      <c r="D286" s="59">
        <v>2012.0</v>
      </c>
      <c r="E286" s="57" t="s">
        <v>82</v>
      </c>
    </row>
    <row r="287" ht="12.75" customHeight="1">
      <c r="A287" s="57" t="s">
        <v>533</v>
      </c>
      <c r="B287" s="57" t="s">
        <v>544</v>
      </c>
      <c r="C287" s="57" t="s">
        <v>545</v>
      </c>
      <c r="D287" s="59">
        <v>2012.0</v>
      </c>
      <c r="E287" s="57" t="s">
        <v>20</v>
      </c>
    </row>
    <row r="288" ht="12.75" customHeight="1">
      <c r="A288" s="57" t="s">
        <v>533</v>
      </c>
      <c r="B288" s="57" t="s">
        <v>546</v>
      </c>
      <c r="C288" s="57" t="s">
        <v>170</v>
      </c>
      <c r="D288" s="59">
        <v>2012.0</v>
      </c>
      <c r="E288" s="57" t="s">
        <v>82</v>
      </c>
    </row>
    <row r="289" ht="12.75" customHeight="1">
      <c r="A289" s="57" t="s">
        <v>533</v>
      </c>
      <c r="B289" s="57" t="s">
        <v>452</v>
      </c>
      <c r="C289" s="57" t="s">
        <v>547</v>
      </c>
      <c r="D289" s="59">
        <v>2011.0</v>
      </c>
      <c r="E289" s="57" t="s">
        <v>82</v>
      </c>
    </row>
    <row r="290" ht="12.75" customHeight="1">
      <c r="A290" s="57" t="s">
        <v>533</v>
      </c>
      <c r="B290" s="57" t="s">
        <v>91</v>
      </c>
      <c r="C290" s="57" t="s">
        <v>548</v>
      </c>
      <c r="D290" s="59">
        <v>2012.0</v>
      </c>
      <c r="E290" s="57" t="s">
        <v>20</v>
      </c>
    </row>
    <row r="291" ht="12.75" customHeight="1">
      <c r="A291" s="57" t="s">
        <v>533</v>
      </c>
      <c r="B291" s="57" t="s">
        <v>549</v>
      </c>
      <c r="C291" s="57" t="s">
        <v>550</v>
      </c>
      <c r="D291" s="59">
        <v>2012.0</v>
      </c>
      <c r="E291" s="57" t="s">
        <v>20</v>
      </c>
    </row>
    <row r="292" ht="12.75" customHeight="1">
      <c r="A292" s="57" t="s">
        <v>533</v>
      </c>
      <c r="B292" s="57" t="s">
        <v>551</v>
      </c>
      <c r="C292" s="57" t="s">
        <v>362</v>
      </c>
      <c r="D292" s="59">
        <v>2010.0</v>
      </c>
      <c r="E292" s="57" t="s">
        <v>82</v>
      </c>
    </row>
    <row r="293" ht="12.75" customHeight="1">
      <c r="A293" s="57" t="s">
        <v>533</v>
      </c>
      <c r="B293" s="57" t="s">
        <v>113</v>
      </c>
      <c r="C293" s="57" t="s">
        <v>552</v>
      </c>
      <c r="D293" s="59">
        <v>2012.0</v>
      </c>
      <c r="E293" s="57" t="s">
        <v>82</v>
      </c>
    </row>
    <row r="294" ht="12.75" customHeight="1">
      <c r="A294" s="57" t="s">
        <v>533</v>
      </c>
      <c r="B294" s="57" t="s">
        <v>258</v>
      </c>
      <c r="C294" s="57" t="s">
        <v>553</v>
      </c>
      <c r="D294" s="59">
        <v>2012.0</v>
      </c>
      <c r="E294" s="57" t="s">
        <v>20</v>
      </c>
    </row>
    <row r="295" ht="12.75" customHeight="1">
      <c r="A295" s="57" t="s">
        <v>533</v>
      </c>
      <c r="B295" s="57" t="s">
        <v>554</v>
      </c>
      <c r="C295" s="57" t="s">
        <v>555</v>
      </c>
      <c r="D295" s="59">
        <v>2012.0</v>
      </c>
      <c r="E295" s="57" t="s">
        <v>20</v>
      </c>
    </row>
    <row r="296" ht="12.75" customHeight="1">
      <c r="A296" s="57" t="s">
        <v>533</v>
      </c>
      <c r="B296" s="57" t="s">
        <v>311</v>
      </c>
      <c r="C296" s="57" t="s">
        <v>186</v>
      </c>
      <c r="D296" s="59">
        <v>2012.0</v>
      </c>
      <c r="E296" s="57" t="s">
        <v>82</v>
      </c>
    </row>
    <row r="297" ht="12.75" customHeight="1">
      <c r="A297" s="57" t="s">
        <v>533</v>
      </c>
      <c r="B297" s="57" t="s">
        <v>556</v>
      </c>
      <c r="C297" s="57" t="s">
        <v>557</v>
      </c>
      <c r="D297" s="59">
        <v>2011.0</v>
      </c>
      <c r="E297" s="57" t="s">
        <v>82</v>
      </c>
    </row>
    <row r="298" ht="12.75" customHeight="1">
      <c r="A298" s="57" t="s">
        <v>533</v>
      </c>
      <c r="B298" s="57" t="s">
        <v>558</v>
      </c>
      <c r="C298" s="57" t="s">
        <v>559</v>
      </c>
      <c r="D298" s="59">
        <v>2012.0</v>
      </c>
      <c r="E298" s="57" t="s">
        <v>82</v>
      </c>
    </row>
    <row r="299" ht="12.75" customHeight="1">
      <c r="A299" s="57" t="s">
        <v>533</v>
      </c>
      <c r="B299" s="57" t="s">
        <v>560</v>
      </c>
      <c r="C299" s="57" t="s">
        <v>561</v>
      </c>
      <c r="D299" s="59">
        <v>2012.0</v>
      </c>
      <c r="E299" s="57" t="s">
        <v>20</v>
      </c>
    </row>
    <row r="300" ht="12.75" customHeight="1">
      <c r="A300" s="57" t="s">
        <v>533</v>
      </c>
      <c r="B300" s="57" t="s">
        <v>125</v>
      </c>
      <c r="C300" s="57" t="s">
        <v>562</v>
      </c>
      <c r="D300" s="59">
        <v>2012.0</v>
      </c>
      <c r="E300" s="57" t="s">
        <v>20</v>
      </c>
    </row>
    <row r="301" ht="12.75" customHeight="1">
      <c r="A301" s="57" t="s">
        <v>533</v>
      </c>
      <c r="B301" s="57" t="s">
        <v>313</v>
      </c>
      <c r="C301" s="57" t="s">
        <v>443</v>
      </c>
      <c r="D301" s="59">
        <v>2012.0</v>
      </c>
      <c r="E301" s="57" t="s">
        <v>20</v>
      </c>
    </row>
    <row r="302" ht="12.75" customHeight="1">
      <c r="A302" s="57" t="s">
        <v>533</v>
      </c>
      <c r="B302" s="57" t="s">
        <v>563</v>
      </c>
      <c r="C302" s="57" t="s">
        <v>564</v>
      </c>
      <c r="D302" s="59">
        <v>2012.0</v>
      </c>
      <c r="E302" s="57" t="s">
        <v>20</v>
      </c>
    </row>
    <row r="303" ht="12.75" customHeight="1">
      <c r="A303" s="57" t="s">
        <v>533</v>
      </c>
      <c r="B303" s="57" t="s">
        <v>565</v>
      </c>
      <c r="C303" s="57" t="s">
        <v>566</v>
      </c>
      <c r="D303" s="59">
        <v>2011.0</v>
      </c>
      <c r="E303" s="57" t="s">
        <v>20</v>
      </c>
    </row>
    <row r="304" ht="12.75" customHeight="1">
      <c r="A304" s="57" t="s">
        <v>567</v>
      </c>
      <c r="B304" s="57" t="s">
        <v>270</v>
      </c>
      <c r="C304" s="57" t="s">
        <v>159</v>
      </c>
      <c r="D304" s="59">
        <v>2011.0</v>
      </c>
      <c r="E304" s="57" t="s">
        <v>82</v>
      </c>
    </row>
    <row r="305" ht="12.75" customHeight="1">
      <c r="A305" s="57" t="s">
        <v>567</v>
      </c>
      <c r="B305" s="57" t="s">
        <v>568</v>
      </c>
      <c r="C305" s="57" t="s">
        <v>569</v>
      </c>
      <c r="D305" s="59">
        <v>2012.0</v>
      </c>
      <c r="E305" s="57" t="s">
        <v>20</v>
      </c>
    </row>
    <row r="306" ht="12.75" customHeight="1">
      <c r="A306" s="57" t="s">
        <v>567</v>
      </c>
      <c r="B306" s="57" t="s">
        <v>570</v>
      </c>
      <c r="C306" s="57" t="s">
        <v>334</v>
      </c>
      <c r="D306" s="59">
        <v>2012.0</v>
      </c>
      <c r="E306" s="57" t="s">
        <v>82</v>
      </c>
    </row>
    <row r="307" ht="12.75" customHeight="1">
      <c r="A307" s="57" t="s">
        <v>567</v>
      </c>
      <c r="B307" s="57" t="s">
        <v>571</v>
      </c>
      <c r="C307" s="57" t="s">
        <v>572</v>
      </c>
      <c r="D307" s="59">
        <v>2012.0</v>
      </c>
      <c r="E307" s="57" t="s">
        <v>82</v>
      </c>
    </row>
    <row r="308" ht="12.75" customHeight="1">
      <c r="A308" s="57" t="s">
        <v>567</v>
      </c>
      <c r="B308" s="57" t="s">
        <v>238</v>
      </c>
      <c r="C308" s="57" t="s">
        <v>334</v>
      </c>
      <c r="D308" s="59">
        <v>2012.0</v>
      </c>
      <c r="E308" s="57" t="s">
        <v>82</v>
      </c>
    </row>
    <row r="309" ht="12.75" customHeight="1">
      <c r="A309" s="57" t="s">
        <v>567</v>
      </c>
      <c r="B309" s="57" t="s">
        <v>247</v>
      </c>
      <c r="C309" s="57" t="s">
        <v>188</v>
      </c>
      <c r="D309" s="59">
        <v>2011.0</v>
      </c>
      <c r="E309" s="57" t="s">
        <v>82</v>
      </c>
    </row>
    <row r="310" ht="12.75" customHeight="1">
      <c r="A310" s="57" t="s">
        <v>567</v>
      </c>
      <c r="B310" s="57" t="s">
        <v>148</v>
      </c>
      <c r="C310" s="57" t="s">
        <v>573</v>
      </c>
      <c r="D310" s="59">
        <v>2012.0</v>
      </c>
      <c r="E310" s="57" t="s">
        <v>20</v>
      </c>
    </row>
    <row r="311" ht="12.75" customHeight="1">
      <c r="A311" s="57" t="s">
        <v>567</v>
      </c>
      <c r="B311" s="57" t="s">
        <v>574</v>
      </c>
      <c r="C311" s="57" t="s">
        <v>575</v>
      </c>
      <c r="D311" s="59">
        <v>2012.0</v>
      </c>
      <c r="E311" s="57" t="s">
        <v>82</v>
      </c>
    </row>
    <row r="312" ht="12.75" customHeight="1">
      <c r="A312" s="57" t="s">
        <v>567</v>
      </c>
      <c r="B312" s="57" t="s">
        <v>576</v>
      </c>
      <c r="C312" s="57" t="s">
        <v>577</v>
      </c>
      <c r="D312" s="59">
        <v>2012.0</v>
      </c>
      <c r="E312" s="57" t="s">
        <v>82</v>
      </c>
    </row>
    <row r="313" ht="12.75" customHeight="1">
      <c r="A313" s="57" t="s">
        <v>567</v>
      </c>
      <c r="B313" s="57" t="s">
        <v>296</v>
      </c>
      <c r="C313" s="57" t="s">
        <v>578</v>
      </c>
      <c r="D313" s="59">
        <v>2012.0</v>
      </c>
      <c r="E313" s="57" t="s">
        <v>20</v>
      </c>
    </row>
    <row r="314" ht="12.75" customHeight="1">
      <c r="A314" s="57" t="s">
        <v>567</v>
      </c>
      <c r="B314" s="57" t="s">
        <v>579</v>
      </c>
      <c r="C314" s="57" t="s">
        <v>580</v>
      </c>
      <c r="D314" s="59">
        <v>2012.0</v>
      </c>
      <c r="E314" s="57" t="s">
        <v>82</v>
      </c>
    </row>
    <row r="315" ht="12.75" customHeight="1">
      <c r="A315" s="57" t="s">
        <v>567</v>
      </c>
      <c r="B315" s="57" t="s">
        <v>581</v>
      </c>
      <c r="C315" s="57" t="s">
        <v>582</v>
      </c>
      <c r="D315" s="59">
        <v>2011.0</v>
      </c>
      <c r="E315" s="57" t="s">
        <v>20</v>
      </c>
    </row>
    <row r="316" ht="12.75" customHeight="1">
      <c r="A316" s="57" t="s">
        <v>567</v>
      </c>
      <c r="B316" s="57" t="s">
        <v>192</v>
      </c>
      <c r="C316" s="57" t="s">
        <v>583</v>
      </c>
      <c r="D316" s="59">
        <v>2012.0</v>
      </c>
      <c r="E316" s="57" t="s">
        <v>82</v>
      </c>
    </row>
    <row r="317" ht="12.75" customHeight="1">
      <c r="A317" s="57" t="s">
        <v>567</v>
      </c>
      <c r="B317" s="57" t="s">
        <v>192</v>
      </c>
      <c r="C317" s="57" t="s">
        <v>584</v>
      </c>
      <c r="D317" s="59">
        <v>2011.0</v>
      </c>
      <c r="E317" s="57" t="s">
        <v>82</v>
      </c>
    </row>
    <row r="318" ht="12.75" customHeight="1">
      <c r="A318" s="57" t="s">
        <v>567</v>
      </c>
      <c r="B318" s="57" t="s">
        <v>194</v>
      </c>
      <c r="C318" s="57" t="s">
        <v>182</v>
      </c>
      <c r="D318" s="59">
        <v>2011.0</v>
      </c>
      <c r="E318" s="57" t="s">
        <v>82</v>
      </c>
    </row>
    <row r="319" ht="12.75" customHeight="1">
      <c r="A319" s="57" t="s">
        <v>567</v>
      </c>
      <c r="B319" s="57" t="s">
        <v>265</v>
      </c>
      <c r="C319" s="57" t="s">
        <v>122</v>
      </c>
      <c r="D319" s="59">
        <v>2012.0</v>
      </c>
      <c r="E319" s="57" t="s">
        <v>82</v>
      </c>
    </row>
    <row r="320" ht="12.75" customHeight="1">
      <c r="A320" s="57" t="s">
        <v>567</v>
      </c>
      <c r="B320" s="57" t="s">
        <v>585</v>
      </c>
      <c r="C320" s="57" t="s">
        <v>586</v>
      </c>
      <c r="D320" s="59">
        <v>2011.0</v>
      </c>
      <c r="E320" s="57" t="s">
        <v>82</v>
      </c>
    </row>
    <row r="321" ht="12.75" customHeight="1">
      <c r="A321" s="57" t="s">
        <v>567</v>
      </c>
      <c r="B321" s="57" t="s">
        <v>490</v>
      </c>
      <c r="C321" s="57" t="s">
        <v>587</v>
      </c>
      <c r="D321" s="59">
        <v>2011.0</v>
      </c>
      <c r="E321" s="57" t="s">
        <v>20</v>
      </c>
    </row>
    <row r="322" ht="12.75" customHeight="1">
      <c r="A322" s="57" t="s">
        <v>567</v>
      </c>
      <c r="B322" s="57" t="s">
        <v>588</v>
      </c>
      <c r="C322" s="57" t="s">
        <v>429</v>
      </c>
      <c r="D322" s="59">
        <v>2012.0</v>
      </c>
      <c r="E322" s="57" t="s">
        <v>20</v>
      </c>
    </row>
    <row r="323" ht="12.75" customHeight="1">
      <c r="A323" s="57" t="s">
        <v>567</v>
      </c>
      <c r="B323" s="57" t="s">
        <v>206</v>
      </c>
      <c r="C323" s="57" t="s">
        <v>110</v>
      </c>
      <c r="D323" s="59">
        <v>2012.0</v>
      </c>
      <c r="E323" s="57" t="s">
        <v>82</v>
      </c>
    </row>
    <row r="324" ht="12.75" customHeight="1">
      <c r="A324" s="57" t="s">
        <v>567</v>
      </c>
      <c r="B324" s="57" t="s">
        <v>565</v>
      </c>
      <c r="C324" s="57" t="s">
        <v>589</v>
      </c>
      <c r="D324" s="59">
        <v>2011.0</v>
      </c>
      <c r="E324" s="57" t="s">
        <v>20</v>
      </c>
    </row>
    <row r="325" ht="12.75" customHeight="1">
      <c r="A325" s="57" t="s">
        <v>567</v>
      </c>
      <c r="B325" s="57" t="s">
        <v>590</v>
      </c>
      <c r="C325" s="57" t="s">
        <v>591</v>
      </c>
      <c r="D325" s="59">
        <v>2012.0</v>
      </c>
      <c r="E325" s="57" t="s">
        <v>20</v>
      </c>
    </row>
    <row r="326" ht="12.75" customHeight="1">
      <c r="A326" s="57" t="s">
        <v>592</v>
      </c>
      <c r="B326" s="57" t="s">
        <v>593</v>
      </c>
      <c r="C326" s="57" t="s">
        <v>594</v>
      </c>
      <c r="D326" s="59">
        <v>2010.0</v>
      </c>
      <c r="E326" s="57" t="s">
        <v>20</v>
      </c>
    </row>
    <row r="327" ht="12.75" customHeight="1">
      <c r="A327" s="57" t="s">
        <v>592</v>
      </c>
      <c r="B327" s="57" t="s">
        <v>595</v>
      </c>
      <c r="C327" s="57" t="s">
        <v>596</v>
      </c>
      <c r="D327" s="59">
        <v>2012.0</v>
      </c>
      <c r="E327" s="57" t="s">
        <v>20</v>
      </c>
    </row>
    <row r="328" ht="12.75" customHeight="1">
      <c r="A328" s="57" t="s">
        <v>592</v>
      </c>
      <c r="B328" s="57" t="s">
        <v>597</v>
      </c>
      <c r="C328" s="57" t="s">
        <v>598</v>
      </c>
      <c r="D328" s="59">
        <v>2010.0</v>
      </c>
      <c r="E328" s="57" t="s">
        <v>82</v>
      </c>
    </row>
    <row r="329" ht="12.75" customHeight="1">
      <c r="A329" s="57" t="s">
        <v>592</v>
      </c>
      <c r="B329" s="57" t="s">
        <v>599</v>
      </c>
      <c r="C329" s="57" t="s">
        <v>600</v>
      </c>
      <c r="D329" s="59">
        <v>2012.0</v>
      </c>
      <c r="E329" s="57" t="s">
        <v>20</v>
      </c>
    </row>
    <row r="330" ht="12.75" customHeight="1">
      <c r="A330" s="57" t="s">
        <v>592</v>
      </c>
      <c r="B330" s="57" t="s">
        <v>601</v>
      </c>
      <c r="C330" s="57" t="s">
        <v>602</v>
      </c>
      <c r="D330" s="59">
        <v>2012.0</v>
      </c>
      <c r="E330" s="57" t="s">
        <v>20</v>
      </c>
    </row>
    <row r="331" ht="12.75" customHeight="1">
      <c r="A331" s="57" t="s">
        <v>592</v>
      </c>
      <c r="B331" s="57" t="s">
        <v>603</v>
      </c>
      <c r="C331" s="57" t="s">
        <v>604</v>
      </c>
      <c r="D331" s="59">
        <v>2010.0</v>
      </c>
      <c r="E331" s="57" t="s">
        <v>82</v>
      </c>
    </row>
    <row r="332" ht="12.75" customHeight="1">
      <c r="A332" s="57" t="s">
        <v>592</v>
      </c>
      <c r="B332" s="57" t="s">
        <v>605</v>
      </c>
      <c r="C332" s="57" t="s">
        <v>606</v>
      </c>
      <c r="D332" s="59">
        <v>2012.0</v>
      </c>
      <c r="E332" s="57" t="s">
        <v>82</v>
      </c>
    </row>
    <row r="333" ht="12.75" customHeight="1">
      <c r="A333" s="57" t="s">
        <v>592</v>
      </c>
      <c r="B333" s="57" t="s">
        <v>607</v>
      </c>
      <c r="C333" s="57" t="s">
        <v>608</v>
      </c>
      <c r="D333" s="59">
        <v>2012.0</v>
      </c>
      <c r="E333" s="57" t="s">
        <v>82</v>
      </c>
    </row>
    <row r="334" ht="12.75" customHeight="1">
      <c r="A334" s="57" t="s">
        <v>592</v>
      </c>
      <c r="B334" s="57" t="s">
        <v>609</v>
      </c>
      <c r="C334" s="57" t="s">
        <v>182</v>
      </c>
      <c r="D334" s="59">
        <v>2012.0</v>
      </c>
      <c r="E334" s="57" t="s">
        <v>82</v>
      </c>
    </row>
    <row r="335" ht="12.75" customHeight="1">
      <c r="A335" s="57" t="s">
        <v>592</v>
      </c>
      <c r="B335" s="57" t="s">
        <v>610</v>
      </c>
      <c r="C335" s="57" t="s">
        <v>611</v>
      </c>
      <c r="D335" s="59">
        <v>2012.0</v>
      </c>
      <c r="E335" s="57" t="s">
        <v>20</v>
      </c>
    </row>
    <row r="336" ht="12.75" customHeight="1">
      <c r="A336" s="57" t="s">
        <v>592</v>
      </c>
      <c r="B336" s="57" t="s">
        <v>514</v>
      </c>
      <c r="C336" s="57" t="s">
        <v>612</v>
      </c>
      <c r="D336" s="59">
        <v>2012.0</v>
      </c>
      <c r="E336" s="57" t="s">
        <v>82</v>
      </c>
    </row>
    <row r="337" ht="12.75" customHeight="1">
      <c r="A337" s="57" t="s">
        <v>592</v>
      </c>
      <c r="B337" s="57" t="s">
        <v>148</v>
      </c>
      <c r="C337" s="57" t="s">
        <v>613</v>
      </c>
      <c r="D337" s="59">
        <v>2012.0</v>
      </c>
      <c r="E337" s="57" t="s">
        <v>82</v>
      </c>
    </row>
    <row r="338" ht="12.75" customHeight="1">
      <c r="A338" s="57" t="s">
        <v>592</v>
      </c>
      <c r="B338" s="57" t="s">
        <v>614</v>
      </c>
      <c r="C338" s="57" t="s">
        <v>201</v>
      </c>
      <c r="D338" s="59">
        <v>2012.0</v>
      </c>
      <c r="E338" s="57" t="s">
        <v>82</v>
      </c>
    </row>
    <row r="339" ht="12.75" customHeight="1">
      <c r="A339" s="57" t="s">
        <v>592</v>
      </c>
      <c r="B339" s="57" t="s">
        <v>615</v>
      </c>
      <c r="C339" s="57" t="s">
        <v>303</v>
      </c>
      <c r="D339" s="59">
        <v>2012.0</v>
      </c>
      <c r="E339" s="57" t="s">
        <v>20</v>
      </c>
    </row>
    <row r="340" ht="12.75" customHeight="1">
      <c r="A340" s="57" t="s">
        <v>592</v>
      </c>
      <c r="B340" s="57" t="s">
        <v>103</v>
      </c>
      <c r="C340" s="57" t="s">
        <v>616</v>
      </c>
      <c r="D340" s="59">
        <v>2012.0</v>
      </c>
      <c r="E340" s="57" t="s">
        <v>82</v>
      </c>
    </row>
    <row r="341" ht="12.75" customHeight="1">
      <c r="A341" s="57" t="s">
        <v>592</v>
      </c>
      <c r="B341" s="57" t="s">
        <v>617</v>
      </c>
      <c r="C341" s="57" t="s">
        <v>618</v>
      </c>
      <c r="D341" s="59">
        <v>2012.0</v>
      </c>
      <c r="E341" s="57" t="s">
        <v>82</v>
      </c>
    </row>
    <row r="342" ht="12.75" customHeight="1">
      <c r="A342" s="57" t="s">
        <v>592</v>
      </c>
      <c r="B342" s="57" t="s">
        <v>338</v>
      </c>
      <c r="C342" s="57" t="s">
        <v>619</v>
      </c>
      <c r="D342" s="59">
        <v>2012.0</v>
      </c>
      <c r="E342" s="57" t="s">
        <v>82</v>
      </c>
    </row>
    <row r="343" ht="12.75" customHeight="1">
      <c r="A343" s="57" t="s">
        <v>592</v>
      </c>
      <c r="B343" s="57" t="s">
        <v>620</v>
      </c>
      <c r="C343" s="57" t="s">
        <v>621</v>
      </c>
      <c r="D343" s="59">
        <v>2011.0</v>
      </c>
      <c r="E343" s="57" t="s">
        <v>82</v>
      </c>
    </row>
    <row r="344" ht="12.75" customHeight="1">
      <c r="A344" s="57" t="s">
        <v>592</v>
      </c>
      <c r="B344" s="57" t="s">
        <v>486</v>
      </c>
      <c r="C344" s="57" t="s">
        <v>622</v>
      </c>
      <c r="D344" s="59">
        <v>2012.0</v>
      </c>
      <c r="E344" s="57" t="s">
        <v>82</v>
      </c>
    </row>
    <row r="345" ht="12.75" customHeight="1">
      <c r="A345" s="57" t="s">
        <v>592</v>
      </c>
      <c r="B345" s="57" t="s">
        <v>623</v>
      </c>
      <c r="C345" s="57" t="s">
        <v>624</v>
      </c>
      <c r="D345" s="59">
        <v>2011.0</v>
      </c>
      <c r="E345" s="57" t="s">
        <v>20</v>
      </c>
    </row>
    <row r="346" ht="12.75" customHeight="1">
      <c r="A346" s="57" t="s">
        <v>592</v>
      </c>
      <c r="B346" s="57" t="s">
        <v>356</v>
      </c>
      <c r="C346" s="57" t="s">
        <v>625</v>
      </c>
      <c r="D346" s="59">
        <v>2011.0</v>
      </c>
      <c r="E346" s="57" t="s">
        <v>20</v>
      </c>
    </row>
    <row r="347" ht="12.75" customHeight="1">
      <c r="A347" s="57" t="s">
        <v>592</v>
      </c>
      <c r="B347" s="57" t="s">
        <v>397</v>
      </c>
      <c r="C347" s="57" t="s">
        <v>626</v>
      </c>
      <c r="D347" s="59">
        <v>2012.0</v>
      </c>
      <c r="E347" s="57" t="s">
        <v>20</v>
      </c>
    </row>
    <row r="348" ht="12.75" customHeight="1">
      <c r="A348" s="57" t="s">
        <v>592</v>
      </c>
      <c r="B348" s="57" t="s">
        <v>397</v>
      </c>
      <c r="C348" s="57" t="s">
        <v>627</v>
      </c>
      <c r="D348" s="59">
        <v>2012.0</v>
      </c>
      <c r="E348" s="57" t="s">
        <v>82</v>
      </c>
    </row>
    <row r="349" ht="12.75" customHeight="1">
      <c r="A349" s="57" t="s">
        <v>592</v>
      </c>
      <c r="B349" s="57" t="s">
        <v>527</v>
      </c>
      <c r="C349" s="57" t="s">
        <v>628</v>
      </c>
      <c r="D349" s="59">
        <v>2012.0</v>
      </c>
      <c r="E349" s="57" t="s">
        <v>20</v>
      </c>
    </row>
    <row r="350" ht="12.75" customHeight="1">
      <c r="A350" s="57" t="s">
        <v>592</v>
      </c>
      <c r="B350" s="57" t="s">
        <v>629</v>
      </c>
      <c r="C350" s="57" t="s">
        <v>630</v>
      </c>
      <c r="D350" s="59">
        <v>2012.0</v>
      </c>
      <c r="E350" s="57" t="s">
        <v>20</v>
      </c>
    </row>
    <row r="351" ht="12.75" customHeight="1">
      <c r="A351" s="57" t="s">
        <v>592</v>
      </c>
      <c r="B351" s="57" t="s">
        <v>194</v>
      </c>
      <c r="C351" s="57" t="s">
        <v>631</v>
      </c>
      <c r="D351" s="59">
        <v>2011.0</v>
      </c>
      <c r="E351" s="57" t="s">
        <v>20</v>
      </c>
    </row>
    <row r="352" ht="12.75" customHeight="1">
      <c r="A352" s="57" t="s">
        <v>592</v>
      </c>
      <c r="B352" s="57" t="s">
        <v>588</v>
      </c>
      <c r="C352" s="57" t="s">
        <v>90</v>
      </c>
      <c r="D352" s="59">
        <v>2011.0</v>
      </c>
      <c r="E352" s="57" t="s">
        <v>82</v>
      </c>
    </row>
    <row r="353" ht="12.75" customHeight="1">
      <c r="A353" s="57" t="s">
        <v>592</v>
      </c>
      <c r="B353" s="57" t="s">
        <v>313</v>
      </c>
      <c r="C353" s="57" t="s">
        <v>331</v>
      </c>
      <c r="D353" s="59">
        <v>2012.0</v>
      </c>
      <c r="E353" s="57" t="s">
        <v>82</v>
      </c>
    </row>
    <row r="354" ht="12.75" customHeight="1">
      <c r="A354" s="57" t="s">
        <v>632</v>
      </c>
      <c r="B354" s="57" t="s">
        <v>633</v>
      </c>
      <c r="C354" s="57" t="s">
        <v>634</v>
      </c>
      <c r="D354" s="59">
        <v>2011.0</v>
      </c>
      <c r="E354" s="57" t="s">
        <v>82</v>
      </c>
    </row>
    <row r="355" ht="12.75" customHeight="1">
      <c r="A355" s="57" t="s">
        <v>632</v>
      </c>
      <c r="B355" s="57" t="s">
        <v>635</v>
      </c>
      <c r="C355" s="57" t="s">
        <v>594</v>
      </c>
      <c r="D355" s="59">
        <v>2010.0</v>
      </c>
      <c r="E355" s="57" t="s">
        <v>20</v>
      </c>
    </row>
    <row r="356" ht="12.75" customHeight="1">
      <c r="A356" s="57" t="s">
        <v>632</v>
      </c>
      <c r="B356" s="57" t="s">
        <v>636</v>
      </c>
      <c r="C356" s="57" t="s">
        <v>637</v>
      </c>
      <c r="D356" s="59">
        <v>2011.0</v>
      </c>
      <c r="E356" s="57" t="s">
        <v>20</v>
      </c>
    </row>
    <row r="357" ht="12.75" customHeight="1">
      <c r="A357" s="57" t="s">
        <v>632</v>
      </c>
      <c r="B357" s="57" t="s">
        <v>638</v>
      </c>
      <c r="C357" s="57" t="s">
        <v>133</v>
      </c>
      <c r="D357" s="59">
        <v>2010.0</v>
      </c>
      <c r="E357" s="57" t="s">
        <v>20</v>
      </c>
    </row>
    <row r="358" ht="12.75" customHeight="1">
      <c r="A358" s="57" t="s">
        <v>632</v>
      </c>
      <c r="B358" s="57" t="s">
        <v>639</v>
      </c>
      <c r="C358" s="57" t="s">
        <v>640</v>
      </c>
      <c r="D358" s="59">
        <v>2010.0</v>
      </c>
      <c r="E358" s="57" t="s">
        <v>82</v>
      </c>
    </row>
    <row r="359" ht="12.75" customHeight="1">
      <c r="A359" s="57" t="s">
        <v>632</v>
      </c>
      <c r="B359" s="57" t="s">
        <v>641</v>
      </c>
      <c r="C359" s="57" t="s">
        <v>642</v>
      </c>
      <c r="D359" s="59">
        <v>2011.0</v>
      </c>
      <c r="E359" s="57" t="s">
        <v>82</v>
      </c>
    </row>
    <row r="360" ht="12.75" customHeight="1">
      <c r="A360" s="57" t="s">
        <v>632</v>
      </c>
      <c r="B360" s="57" t="s">
        <v>643</v>
      </c>
      <c r="C360" s="57" t="s">
        <v>644</v>
      </c>
      <c r="D360" s="59">
        <v>2011.0</v>
      </c>
      <c r="E360" s="57" t="s">
        <v>82</v>
      </c>
    </row>
    <row r="361" ht="12.75" customHeight="1">
      <c r="A361" s="57" t="s">
        <v>632</v>
      </c>
      <c r="B361" s="57" t="s">
        <v>371</v>
      </c>
      <c r="C361" s="57" t="s">
        <v>645</v>
      </c>
      <c r="D361" s="59">
        <v>2010.0</v>
      </c>
      <c r="E361" s="57" t="s">
        <v>20</v>
      </c>
    </row>
    <row r="362" ht="12.75" customHeight="1">
      <c r="A362" s="57" t="s">
        <v>632</v>
      </c>
      <c r="B362" s="57" t="s">
        <v>646</v>
      </c>
      <c r="C362" s="57" t="s">
        <v>647</v>
      </c>
      <c r="D362" s="59">
        <v>2011.0</v>
      </c>
      <c r="E362" s="57" t="s">
        <v>20</v>
      </c>
    </row>
    <row r="363" ht="12.75" customHeight="1">
      <c r="A363" s="57" t="s">
        <v>632</v>
      </c>
      <c r="B363" s="57" t="s">
        <v>418</v>
      </c>
      <c r="C363" s="57" t="s">
        <v>648</v>
      </c>
      <c r="D363" s="59">
        <v>2011.0</v>
      </c>
      <c r="E363" s="57" t="s">
        <v>82</v>
      </c>
    </row>
    <row r="364" ht="12.75" customHeight="1">
      <c r="A364" s="57" t="s">
        <v>632</v>
      </c>
      <c r="B364" s="57" t="s">
        <v>281</v>
      </c>
      <c r="C364" s="57" t="s">
        <v>649</v>
      </c>
      <c r="D364" s="59">
        <v>2010.0</v>
      </c>
      <c r="E364" s="57" t="s">
        <v>20</v>
      </c>
    </row>
    <row r="365" ht="12.75" customHeight="1">
      <c r="A365" s="57" t="s">
        <v>632</v>
      </c>
      <c r="B365" s="57" t="s">
        <v>91</v>
      </c>
      <c r="C365" s="57" t="s">
        <v>650</v>
      </c>
      <c r="D365" s="59">
        <v>2010.0</v>
      </c>
      <c r="E365" s="57" t="s">
        <v>20</v>
      </c>
    </row>
    <row r="366" ht="12.75" customHeight="1">
      <c r="A366" s="57" t="s">
        <v>632</v>
      </c>
      <c r="B366" s="57" t="s">
        <v>247</v>
      </c>
      <c r="C366" s="57" t="s">
        <v>308</v>
      </c>
      <c r="D366" s="59">
        <v>2010.0</v>
      </c>
      <c r="E366" s="57" t="s">
        <v>20</v>
      </c>
    </row>
    <row r="367" ht="12.75" customHeight="1">
      <c r="A367" s="57" t="s">
        <v>632</v>
      </c>
      <c r="B367" s="57" t="s">
        <v>148</v>
      </c>
      <c r="C367" s="57" t="s">
        <v>564</v>
      </c>
      <c r="D367" s="59">
        <v>2011.0</v>
      </c>
      <c r="E367" s="57" t="s">
        <v>20</v>
      </c>
    </row>
    <row r="368" ht="12.75" customHeight="1">
      <c r="A368" s="57" t="s">
        <v>632</v>
      </c>
      <c r="B368" s="57" t="s">
        <v>651</v>
      </c>
      <c r="C368" s="57" t="s">
        <v>652</v>
      </c>
      <c r="D368" s="59">
        <v>2011.0</v>
      </c>
      <c r="E368" s="57" t="s">
        <v>20</v>
      </c>
    </row>
    <row r="369" ht="12.75" customHeight="1">
      <c r="A369" s="57" t="s">
        <v>632</v>
      </c>
      <c r="B369" s="57" t="s">
        <v>653</v>
      </c>
      <c r="C369" s="57" t="s">
        <v>316</v>
      </c>
      <c r="D369" s="59">
        <v>2011.0</v>
      </c>
      <c r="E369" s="57" t="s">
        <v>20</v>
      </c>
    </row>
    <row r="370" ht="12.75" customHeight="1">
      <c r="A370" s="57" t="s">
        <v>632</v>
      </c>
      <c r="B370" s="57" t="s">
        <v>292</v>
      </c>
      <c r="C370" s="57" t="s">
        <v>126</v>
      </c>
      <c r="D370" s="59">
        <v>2011.0</v>
      </c>
      <c r="E370" s="57" t="s">
        <v>82</v>
      </c>
    </row>
    <row r="371" ht="12.75" customHeight="1">
      <c r="A371" s="57" t="s">
        <v>632</v>
      </c>
      <c r="B371" s="57" t="s">
        <v>654</v>
      </c>
      <c r="C371" s="57" t="s">
        <v>335</v>
      </c>
      <c r="D371" s="59">
        <v>2010.0</v>
      </c>
      <c r="E371" s="57" t="s">
        <v>20</v>
      </c>
    </row>
    <row r="372" ht="12.75" customHeight="1">
      <c r="A372" s="57" t="s">
        <v>632</v>
      </c>
      <c r="B372" s="57" t="s">
        <v>655</v>
      </c>
      <c r="C372" s="57" t="s">
        <v>308</v>
      </c>
      <c r="D372" s="59">
        <v>2011.0</v>
      </c>
      <c r="E372" s="57" t="s">
        <v>20</v>
      </c>
    </row>
    <row r="373" ht="12.75" customHeight="1">
      <c r="A373" s="57" t="s">
        <v>632</v>
      </c>
      <c r="B373" s="57" t="s">
        <v>656</v>
      </c>
      <c r="C373" s="57" t="s">
        <v>657</v>
      </c>
      <c r="D373" s="59">
        <v>2011.0</v>
      </c>
      <c r="E373" s="57" t="s">
        <v>20</v>
      </c>
    </row>
    <row r="374" ht="12.75" customHeight="1">
      <c r="A374" s="57" t="s">
        <v>632</v>
      </c>
      <c r="B374" s="57" t="s">
        <v>115</v>
      </c>
      <c r="C374" s="57" t="s">
        <v>658</v>
      </c>
      <c r="D374" s="59">
        <v>2011.0</v>
      </c>
      <c r="E374" s="57" t="s">
        <v>20</v>
      </c>
    </row>
    <row r="375" ht="12.75" customHeight="1">
      <c r="A375" s="57" t="s">
        <v>632</v>
      </c>
      <c r="B375" s="57" t="s">
        <v>659</v>
      </c>
      <c r="C375" s="57" t="s">
        <v>660</v>
      </c>
      <c r="D375" s="59">
        <v>2010.0</v>
      </c>
      <c r="E375" s="57" t="s">
        <v>20</v>
      </c>
    </row>
    <row r="376" ht="12.75" customHeight="1">
      <c r="A376" s="57" t="s">
        <v>632</v>
      </c>
      <c r="B376" s="57" t="s">
        <v>661</v>
      </c>
      <c r="C376" s="57" t="s">
        <v>662</v>
      </c>
      <c r="D376" s="59">
        <v>2010.0</v>
      </c>
      <c r="E376" s="57" t="s">
        <v>20</v>
      </c>
    </row>
    <row r="377" ht="12.75" customHeight="1">
      <c r="A377" s="57" t="s">
        <v>632</v>
      </c>
      <c r="B377" s="57" t="s">
        <v>663</v>
      </c>
      <c r="C377" s="57" t="s">
        <v>226</v>
      </c>
      <c r="D377" s="60">
        <v>2011.0</v>
      </c>
      <c r="E377" s="57" t="s">
        <v>20</v>
      </c>
    </row>
    <row r="378" ht="12.75" customHeight="1">
      <c r="A378" s="57" t="s">
        <v>632</v>
      </c>
      <c r="B378" s="57" t="s">
        <v>565</v>
      </c>
      <c r="C378" s="57" t="s">
        <v>186</v>
      </c>
      <c r="D378" s="60">
        <v>2011.0</v>
      </c>
      <c r="E378" s="57" t="s">
        <v>82</v>
      </c>
    </row>
    <row r="379" ht="12.75" customHeight="1">
      <c r="A379" s="57" t="s">
        <v>632</v>
      </c>
      <c r="B379" s="57" t="s">
        <v>664</v>
      </c>
      <c r="C379" s="57" t="s">
        <v>665</v>
      </c>
      <c r="D379" s="60">
        <v>2011.0</v>
      </c>
      <c r="E379" s="57" t="s">
        <v>20</v>
      </c>
    </row>
    <row r="380" ht="12.75" customHeight="1">
      <c r="A380" s="57" t="s">
        <v>666</v>
      </c>
      <c r="B380" s="57" t="s">
        <v>667</v>
      </c>
      <c r="C380" s="57" t="s">
        <v>668</v>
      </c>
      <c r="D380" s="60">
        <v>2010.0</v>
      </c>
      <c r="E380" s="57" t="s">
        <v>20</v>
      </c>
    </row>
    <row r="381" ht="12.75" customHeight="1">
      <c r="A381" s="57" t="s">
        <v>666</v>
      </c>
      <c r="B381" s="57" t="s">
        <v>669</v>
      </c>
      <c r="C381" s="57" t="s">
        <v>670</v>
      </c>
      <c r="D381" s="60">
        <v>2010.0</v>
      </c>
      <c r="E381" s="57" t="s">
        <v>20</v>
      </c>
    </row>
    <row r="382" ht="12.75" customHeight="1">
      <c r="A382" s="57" t="s">
        <v>666</v>
      </c>
      <c r="B382" s="57" t="s">
        <v>671</v>
      </c>
      <c r="C382" s="57" t="s">
        <v>672</v>
      </c>
      <c r="D382" s="60">
        <v>2011.0</v>
      </c>
      <c r="E382" s="57" t="s">
        <v>82</v>
      </c>
    </row>
    <row r="383" ht="12.75" customHeight="1">
      <c r="A383" s="57" t="s">
        <v>666</v>
      </c>
      <c r="B383" s="57" t="s">
        <v>673</v>
      </c>
      <c r="C383" s="57" t="s">
        <v>372</v>
      </c>
      <c r="D383" s="60">
        <v>2010.0</v>
      </c>
      <c r="E383" s="57" t="s">
        <v>82</v>
      </c>
    </row>
    <row r="384" ht="12.75" customHeight="1">
      <c r="A384" s="57" t="s">
        <v>666</v>
      </c>
      <c r="B384" s="57" t="s">
        <v>674</v>
      </c>
      <c r="C384" s="57" t="s">
        <v>145</v>
      </c>
      <c r="D384" s="60">
        <v>2011.0</v>
      </c>
      <c r="E384" s="57" t="s">
        <v>82</v>
      </c>
    </row>
    <row r="385" ht="12.75" customHeight="1">
      <c r="A385" s="57" t="s">
        <v>666</v>
      </c>
      <c r="B385" s="57" t="s">
        <v>412</v>
      </c>
      <c r="C385" s="57" t="s">
        <v>675</v>
      </c>
      <c r="D385" s="60">
        <v>2011.0</v>
      </c>
      <c r="E385" s="57" t="s">
        <v>20</v>
      </c>
    </row>
    <row r="386" ht="12.75" customHeight="1">
      <c r="A386" s="57" t="s">
        <v>666</v>
      </c>
      <c r="B386" s="57" t="s">
        <v>676</v>
      </c>
      <c r="C386" s="57" t="s">
        <v>677</v>
      </c>
      <c r="D386" s="60">
        <v>2010.0</v>
      </c>
      <c r="E386" s="57" t="s">
        <v>82</v>
      </c>
    </row>
    <row r="387" ht="12.75" customHeight="1">
      <c r="A387" s="57" t="s">
        <v>666</v>
      </c>
      <c r="B387" s="57" t="s">
        <v>678</v>
      </c>
      <c r="C387" s="57" t="s">
        <v>393</v>
      </c>
      <c r="D387" s="60">
        <v>2010.0</v>
      </c>
      <c r="E387" s="57" t="s">
        <v>82</v>
      </c>
    </row>
    <row r="388" ht="12.75" customHeight="1">
      <c r="A388" s="57" t="s">
        <v>666</v>
      </c>
      <c r="B388" s="57" t="s">
        <v>679</v>
      </c>
      <c r="C388" s="57" t="s">
        <v>680</v>
      </c>
      <c r="D388" s="60">
        <v>2010.0</v>
      </c>
      <c r="E388" s="57" t="s">
        <v>82</v>
      </c>
    </row>
    <row r="389" ht="12.75" customHeight="1">
      <c r="A389" s="57" t="s">
        <v>666</v>
      </c>
      <c r="B389" s="57" t="s">
        <v>681</v>
      </c>
      <c r="C389" s="57" t="s">
        <v>682</v>
      </c>
      <c r="D389" s="60">
        <v>2010.0</v>
      </c>
      <c r="E389" s="57" t="s">
        <v>82</v>
      </c>
    </row>
    <row r="390" ht="12.75" customHeight="1">
      <c r="A390" s="57" t="s">
        <v>666</v>
      </c>
      <c r="B390" s="57" t="s">
        <v>683</v>
      </c>
      <c r="C390" s="57" t="s">
        <v>684</v>
      </c>
      <c r="D390" s="60">
        <v>2010.0</v>
      </c>
      <c r="E390" s="57" t="s">
        <v>20</v>
      </c>
    </row>
    <row r="391" ht="12.75" customHeight="1">
      <c r="A391" s="57" t="s">
        <v>666</v>
      </c>
      <c r="B391" s="57" t="s">
        <v>338</v>
      </c>
      <c r="C391" s="57" t="s">
        <v>685</v>
      </c>
      <c r="D391" s="60">
        <v>2011.0</v>
      </c>
      <c r="E391" s="57" t="s">
        <v>20</v>
      </c>
    </row>
    <row r="392" ht="12.75" customHeight="1">
      <c r="A392" s="57" t="s">
        <v>666</v>
      </c>
      <c r="B392" s="57" t="s">
        <v>686</v>
      </c>
      <c r="C392" s="57" t="s">
        <v>687</v>
      </c>
      <c r="D392" s="60">
        <v>2010.0</v>
      </c>
      <c r="E392" s="57" t="s">
        <v>82</v>
      </c>
    </row>
    <row r="393" ht="12.75" customHeight="1">
      <c r="A393" s="57" t="s">
        <v>666</v>
      </c>
      <c r="B393" s="57" t="s">
        <v>301</v>
      </c>
      <c r="C393" s="57" t="s">
        <v>170</v>
      </c>
      <c r="D393" s="60">
        <v>2011.0</v>
      </c>
      <c r="E393" s="57" t="s">
        <v>82</v>
      </c>
    </row>
    <row r="394" ht="12.75" customHeight="1">
      <c r="A394" s="57" t="s">
        <v>666</v>
      </c>
      <c r="B394" s="57" t="s">
        <v>354</v>
      </c>
      <c r="C394" s="57" t="s">
        <v>384</v>
      </c>
      <c r="D394" s="60">
        <v>2011.0</v>
      </c>
      <c r="E394" s="57" t="s">
        <v>82</v>
      </c>
    </row>
    <row r="395" ht="12.75" customHeight="1">
      <c r="A395" s="57" t="s">
        <v>666</v>
      </c>
      <c r="B395" s="57" t="s">
        <v>688</v>
      </c>
      <c r="C395" s="57" t="s">
        <v>689</v>
      </c>
      <c r="D395" s="60">
        <v>2011.0</v>
      </c>
      <c r="E395" s="57" t="s">
        <v>82</v>
      </c>
    </row>
    <row r="396" ht="12.75" customHeight="1">
      <c r="A396" s="57" t="s">
        <v>666</v>
      </c>
      <c r="B396" s="57" t="s">
        <v>399</v>
      </c>
      <c r="C396" s="57" t="s">
        <v>690</v>
      </c>
      <c r="D396" s="60">
        <v>2011.0</v>
      </c>
      <c r="E396" s="57" t="s">
        <v>20</v>
      </c>
    </row>
    <row r="397" ht="12.75" customHeight="1">
      <c r="A397" s="57" t="s">
        <v>666</v>
      </c>
      <c r="B397" s="57" t="s">
        <v>691</v>
      </c>
      <c r="C397" s="57" t="s">
        <v>692</v>
      </c>
      <c r="D397" s="60">
        <v>2010.0</v>
      </c>
      <c r="E397" s="57" t="s">
        <v>82</v>
      </c>
    </row>
    <row r="398" ht="12.75" customHeight="1">
      <c r="A398" s="57" t="s">
        <v>666</v>
      </c>
      <c r="B398" s="57" t="s">
        <v>693</v>
      </c>
      <c r="C398" s="57" t="s">
        <v>694</v>
      </c>
      <c r="D398" s="60">
        <v>2010.0</v>
      </c>
      <c r="E398" s="57" t="s">
        <v>20</v>
      </c>
    </row>
    <row r="399" ht="12.75" customHeight="1">
      <c r="A399" s="57" t="s">
        <v>666</v>
      </c>
      <c r="B399" s="57" t="s">
        <v>588</v>
      </c>
      <c r="C399" s="57" t="s">
        <v>312</v>
      </c>
      <c r="D399" s="60">
        <v>2010.0</v>
      </c>
      <c r="E399" s="57" t="s">
        <v>82</v>
      </c>
    </row>
    <row r="400" ht="12.75" customHeight="1">
      <c r="A400" s="57" t="s">
        <v>666</v>
      </c>
      <c r="B400" s="57" t="s">
        <v>695</v>
      </c>
      <c r="C400" s="57" t="s">
        <v>557</v>
      </c>
      <c r="D400" s="60">
        <v>2010.0</v>
      </c>
      <c r="E400" s="57" t="s">
        <v>82</v>
      </c>
    </row>
    <row r="401" ht="12.75" customHeight="1">
      <c r="A401" s="57" t="s">
        <v>666</v>
      </c>
      <c r="B401" s="57" t="s">
        <v>696</v>
      </c>
      <c r="C401" s="57" t="s">
        <v>697</v>
      </c>
      <c r="D401" s="60">
        <v>2011.0</v>
      </c>
      <c r="E401" s="57" t="s">
        <v>82</v>
      </c>
    </row>
    <row r="402" ht="12.75" customHeight="1">
      <c r="A402" s="57" t="s">
        <v>666</v>
      </c>
      <c r="B402" s="57" t="s">
        <v>698</v>
      </c>
      <c r="C402" s="57" t="s">
        <v>448</v>
      </c>
      <c r="D402" s="60">
        <v>2010.0</v>
      </c>
      <c r="E402" s="57" t="s">
        <v>82</v>
      </c>
    </row>
    <row r="403" ht="12.75" customHeight="1">
      <c r="A403" s="57" t="s">
        <v>699</v>
      </c>
      <c r="B403" s="57" t="s">
        <v>700</v>
      </c>
      <c r="C403" s="57" t="s">
        <v>701</v>
      </c>
      <c r="D403" s="60">
        <v>2011.0</v>
      </c>
      <c r="E403" s="57" t="s">
        <v>82</v>
      </c>
    </row>
    <row r="404" ht="12.75" customHeight="1">
      <c r="A404" s="57" t="s">
        <v>699</v>
      </c>
      <c r="B404" s="57" t="s">
        <v>702</v>
      </c>
      <c r="C404" s="57" t="s">
        <v>703</v>
      </c>
      <c r="D404" s="60">
        <v>2011.0</v>
      </c>
      <c r="E404" s="57" t="s">
        <v>20</v>
      </c>
    </row>
    <row r="405" ht="12.75" customHeight="1">
      <c r="A405" s="57" t="s">
        <v>699</v>
      </c>
      <c r="B405" s="57" t="s">
        <v>704</v>
      </c>
      <c r="C405" s="57" t="s">
        <v>705</v>
      </c>
      <c r="D405" s="60">
        <v>2010.0</v>
      </c>
      <c r="E405" s="57" t="s">
        <v>20</v>
      </c>
    </row>
    <row r="406" ht="12.75" customHeight="1">
      <c r="A406" s="57" t="s">
        <v>699</v>
      </c>
      <c r="B406" s="57" t="s">
        <v>706</v>
      </c>
      <c r="C406" s="57" t="s">
        <v>707</v>
      </c>
      <c r="D406" s="60">
        <v>2010.0</v>
      </c>
      <c r="E406" s="57" t="s">
        <v>82</v>
      </c>
    </row>
    <row r="407" ht="12.75" customHeight="1">
      <c r="A407" s="57" t="s">
        <v>699</v>
      </c>
      <c r="B407" s="57" t="s">
        <v>708</v>
      </c>
      <c r="C407" s="57" t="s">
        <v>709</v>
      </c>
      <c r="D407" s="60">
        <v>2011.0</v>
      </c>
      <c r="E407" s="57" t="s">
        <v>82</v>
      </c>
    </row>
    <row r="408" ht="12.75" customHeight="1">
      <c r="A408" s="57" t="s">
        <v>699</v>
      </c>
      <c r="B408" s="57" t="s">
        <v>418</v>
      </c>
      <c r="C408" s="57" t="s">
        <v>710</v>
      </c>
      <c r="D408" s="60">
        <v>2010.0</v>
      </c>
      <c r="E408" s="57" t="s">
        <v>82</v>
      </c>
    </row>
    <row r="409" ht="12.75" customHeight="1">
      <c r="A409" s="57" t="s">
        <v>699</v>
      </c>
      <c r="B409" s="57" t="s">
        <v>479</v>
      </c>
      <c r="C409" s="57" t="s">
        <v>711</v>
      </c>
      <c r="D409" s="60">
        <v>2011.0</v>
      </c>
      <c r="E409" s="57" t="s">
        <v>20</v>
      </c>
    </row>
    <row r="410" ht="12.75" customHeight="1">
      <c r="A410" s="57" t="s">
        <v>699</v>
      </c>
      <c r="B410" s="57" t="s">
        <v>712</v>
      </c>
      <c r="C410" s="57" t="s">
        <v>713</v>
      </c>
      <c r="D410" s="60">
        <v>2010.0</v>
      </c>
      <c r="E410" s="57" t="s">
        <v>82</v>
      </c>
    </row>
    <row r="411" ht="12.75" customHeight="1">
      <c r="A411" s="57" t="s">
        <v>699</v>
      </c>
      <c r="B411" s="57" t="s">
        <v>97</v>
      </c>
      <c r="C411" s="57" t="s">
        <v>90</v>
      </c>
      <c r="D411" s="60">
        <v>2011.0</v>
      </c>
      <c r="E411" s="57" t="s">
        <v>82</v>
      </c>
    </row>
    <row r="412" ht="12.75" customHeight="1">
      <c r="A412" s="57" t="s">
        <v>699</v>
      </c>
      <c r="B412" s="57" t="s">
        <v>714</v>
      </c>
      <c r="C412" s="57" t="s">
        <v>715</v>
      </c>
      <c r="D412" s="60">
        <v>2011.0</v>
      </c>
      <c r="E412" s="57" t="s">
        <v>82</v>
      </c>
    </row>
    <row r="413" ht="12.75" customHeight="1">
      <c r="A413" s="57" t="s">
        <v>699</v>
      </c>
      <c r="B413" s="57" t="s">
        <v>292</v>
      </c>
      <c r="C413" s="57" t="s">
        <v>331</v>
      </c>
      <c r="D413" s="60">
        <v>2010.0</v>
      </c>
      <c r="E413" s="57" t="s">
        <v>82</v>
      </c>
    </row>
    <row r="414" ht="12.75" customHeight="1">
      <c r="A414" s="57" t="s">
        <v>699</v>
      </c>
      <c r="B414" s="57" t="s">
        <v>296</v>
      </c>
      <c r="C414" s="57" t="s">
        <v>716</v>
      </c>
      <c r="D414" s="60">
        <v>2011.0</v>
      </c>
      <c r="E414" s="57" t="s">
        <v>20</v>
      </c>
    </row>
    <row r="415" ht="12.75" customHeight="1">
      <c r="A415" s="57" t="s">
        <v>699</v>
      </c>
      <c r="B415" s="57" t="s">
        <v>717</v>
      </c>
      <c r="C415" s="57" t="s">
        <v>718</v>
      </c>
      <c r="D415" s="60">
        <v>2011.0</v>
      </c>
      <c r="E415" s="57" t="s">
        <v>82</v>
      </c>
    </row>
    <row r="416" ht="12.75" customHeight="1">
      <c r="A416" s="57" t="s">
        <v>699</v>
      </c>
      <c r="B416" s="57" t="s">
        <v>719</v>
      </c>
      <c r="C416" s="57" t="s">
        <v>587</v>
      </c>
      <c r="D416" s="60">
        <v>2011.0</v>
      </c>
      <c r="E416" s="57" t="s">
        <v>20</v>
      </c>
    </row>
    <row r="417" ht="12.75" customHeight="1">
      <c r="A417" s="57" t="s">
        <v>699</v>
      </c>
      <c r="B417" s="57" t="s">
        <v>720</v>
      </c>
      <c r="C417" s="57" t="s">
        <v>721</v>
      </c>
      <c r="D417" s="60">
        <v>2011.0</v>
      </c>
      <c r="E417" s="57" t="s">
        <v>20</v>
      </c>
    </row>
    <row r="418" ht="12.75" customHeight="1">
      <c r="A418" s="57" t="s">
        <v>699</v>
      </c>
      <c r="B418" s="57" t="s">
        <v>488</v>
      </c>
      <c r="C418" s="57" t="s">
        <v>722</v>
      </c>
      <c r="D418" s="60">
        <v>2011.0</v>
      </c>
      <c r="E418" s="57" t="s">
        <v>82</v>
      </c>
    </row>
    <row r="419" ht="12.75" customHeight="1">
      <c r="A419" s="57" t="s">
        <v>699</v>
      </c>
      <c r="B419" s="57" t="s">
        <v>723</v>
      </c>
      <c r="C419" s="57" t="s">
        <v>724</v>
      </c>
      <c r="D419" s="60">
        <v>2011.0</v>
      </c>
      <c r="E419" s="57" t="s">
        <v>20</v>
      </c>
    </row>
    <row r="420" ht="12.75" customHeight="1">
      <c r="A420" s="57" t="s">
        <v>699</v>
      </c>
      <c r="B420" s="57" t="s">
        <v>725</v>
      </c>
      <c r="C420" s="57" t="s">
        <v>726</v>
      </c>
      <c r="D420" s="60">
        <v>2010.0</v>
      </c>
      <c r="E420" s="57" t="s">
        <v>20</v>
      </c>
    </row>
    <row r="421" ht="12.75" customHeight="1">
      <c r="A421" s="57" t="s">
        <v>699</v>
      </c>
      <c r="B421" s="57" t="s">
        <v>727</v>
      </c>
      <c r="C421" s="57" t="s">
        <v>728</v>
      </c>
      <c r="D421" s="60">
        <v>2011.0</v>
      </c>
      <c r="E421" s="57" t="s">
        <v>20</v>
      </c>
    </row>
    <row r="422" ht="12.75" customHeight="1">
      <c r="A422" s="57" t="s">
        <v>699</v>
      </c>
      <c r="B422" s="57" t="s">
        <v>588</v>
      </c>
      <c r="C422" s="57" t="s">
        <v>729</v>
      </c>
      <c r="D422" s="60">
        <v>2011.0</v>
      </c>
      <c r="E422" s="57" t="s">
        <v>20</v>
      </c>
    </row>
    <row r="423" ht="12.75" customHeight="1">
      <c r="A423" s="57" t="s">
        <v>699</v>
      </c>
      <c r="B423" s="57" t="s">
        <v>730</v>
      </c>
      <c r="C423" s="57" t="s">
        <v>731</v>
      </c>
      <c r="D423" s="60">
        <v>2010.0</v>
      </c>
      <c r="E423" s="57" t="s">
        <v>82</v>
      </c>
    </row>
    <row r="424" ht="12.75" customHeight="1">
      <c r="A424" s="57" t="s">
        <v>699</v>
      </c>
      <c r="B424" s="57" t="s">
        <v>732</v>
      </c>
      <c r="C424" s="57" t="s">
        <v>612</v>
      </c>
      <c r="D424" s="60">
        <v>2011.0</v>
      </c>
      <c r="E424" s="57" t="s">
        <v>82</v>
      </c>
    </row>
    <row r="425" ht="12.75" customHeight="1">
      <c r="A425" s="57" t="s">
        <v>699</v>
      </c>
      <c r="B425" s="57" t="s">
        <v>367</v>
      </c>
      <c r="C425" s="57" t="s">
        <v>535</v>
      </c>
      <c r="D425" s="60">
        <v>2010.0</v>
      </c>
      <c r="E425" s="57" t="s">
        <v>82</v>
      </c>
    </row>
    <row r="426" ht="12.75" customHeight="1">
      <c r="A426" s="57" t="s">
        <v>699</v>
      </c>
      <c r="B426" s="57" t="s">
        <v>733</v>
      </c>
      <c r="C426" s="57" t="s">
        <v>734</v>
      </c>
      <c r="D426" s="60">
        <v>2011.0</v>
      </c>
      <c r="E426" s="57" t="s">
        <v>82</v>
      </c>
    </row>
    <row r="427" ht="12.75" customHeight="1">
      <c r="A427" s="57" t="s">
        <v>735</v>
      </c>
      <c r="B427" s="57" t="s">
        <v>217</v>
      </c>
      <c r="C427" s="57" t="s">
        <v>736</v>
      </c>
      <c r="D427" s="60">
        <v>2011.0</v>
      </c>
      <c r="E427" s="57" t="s">
        <v>20</v>
      </c>
    </row>
    <row r="428" ht="12.75" customHeight="1">
      <c r="A428" s="57" t="s">
        <v>735</v>
      </c>
      <c r="B428" s="57" t="s">
        <v>737</v>
      </c>
      <c r="C428" s="57" t="s">
        <v>738</v>
      </c>
      <c r="D428" s="60">
        <v>2011.0</v>
      </c>
      <c r="E428" s="57" t="s">
        <v>82</v>
      </c>
    </row>
    <row r="429" ht="12.75" customHeight="1">
      <c r="A429" s="57" t="s">
        <v>735</v>
      </c>
      <c r="B429" s="57" t="s">
        <v>739</v>
      </c>
      <c r="C429" s="57" t="s">
        <v>368</v>
      </c>
      <c r="D429" s="60">
        <v>2011.0</v>
      </c>
      <c r="E429" s="57" t="s">
        <v>82</v>
      </c>
    </row>
    <row r="430" ht="12.75" customHeight="1">
      <c r="A430" s="57" t="s">
        <v>735</v>
      </c>
      <c r="B430" s="57" t="s">
        <v>740</v>
      </c>
      <c r="C430" s="57" t="s">
        <v>147</v>
      </c>
      <c r="D430" s="60">
        <v>2011.0</v>
      </c>
      <c r="E430" s="57" t="s">
        <v>20</v>
      </c>
    </row>
    <row r="431" ht="12.75" customHeight="1">
      <c r="A431" s="57" t="s">
        <v>735</v>
      </c>
      <c r="B431" s="57" t="s">
        <v>741</v>
      </c>
      <c r="C431" s="57" t="s">
        <v>384</v>
      </c>
      <c r="D431" s="60">
        <v>2011.0</v>
      </c>
      <c r="E431" s="57" t="s">
        <v>82</v>
      </c>
    </row>
    <row r="432" ht="12.75" customHeight="1">
      <c r="A432" s="57" t="s">
        <v>735</v>
      </c>
      <c r="B432" s="57" t="s">
        <v>174</v>
      </c>
      <c r="C432" s="57" t="s">
        <v>147</v>
      </c>
      <c r="D432" s="60">
        <v>2011.0</v>
      </c>
      <c r="E432" s="57" t="s">
        <v>20</v>
      </c>
    </row>
    <row r="433" ht="12.75" customHeight="1">
      <c r="A433" s="57" t="s">
        <v>735</v>
      </c>
      <c r="B433" s="57" t="s">
        <v>742</v>
      </c>
      <c r="C433" s="57" t="s">
        <v>743</v>
      </c>
      <c r="D433" s="60">
        <v>2010.0</v>
      </c>
      <c r="E433" s="57" t="s">
        <v>20</v>
      </c>
    </row>
    <row r="434" ht="12.75" customHeight="1">
      <c r="A434" s="57" t="s">
        <v>735</v>
      </c>
      <c r="B434" s="57" t="s">
        <v>744</v>
      </c>
      <c r="C434" s="57" t="s">
        <v>745</v>
      </c>
      <c r="D434" s="60">
        <v>2011.0</v>
      </c>
      <c r="E434" s="57" t="s">
        <v>20</v>
      </c>
    </row>
    <row r="435" ht="12.75" customHeight="1">
      <c r="A435" s="57" t="s">
        <v>735</v>
      </c>
      <c r="B435" s="57" t="s">
        <v>746</v>
      </c>
      <c r="C435" s="57" t="s">
        <v>557</v>
      </c>
      <c r="D435" s="60">
        <v>2011.0</v>
      </c>
      <c r="E435" s="57" t="s">
        <v>82</v>
      </c>
    </row>
    <row r="436" ht="12.75" customHeight="1">
      <c r="A436" s="57" t="s">
        <v>735</v>
      </c>
      <c r="B436" s="57" t="s">
        <v>479</v>
      </c>
      <c r="C436" s="57" t="s">
        <v>368</v>
      </c>
      <c r="D436" s="60">
        <v>2010.0</v>
      </c>
      <c r="E436" s="57" t="s">
        <v>82</v>
      </c>
    </row>
    <row r="437" ht="12.75" customHeight="1">
      <c r="A437" s="57" t="s">
        <v>735</v>
      </c>
      <c r="B437" s="57" t="s">
        <v>148</v>
      </c>
      <c r="C437" s="57" t="s">
        <v>747</v>
      </c>
      <c r="D437" s="60">
        <v>2011.0</v>
      </c>
      <c r="E437" s="57" t="s">
        <v>20</v>
      </c>
    </row>
    <row r="438" ht="12.75" customHeight="1">
      <c r="A438" s="57" t="s">
        <v>735</v>
      </c>
      <c r="B438" s="57" t="s">
        <v>385</v>
      </c>
      <c r="C438" s="57" t="s">
        <v>180</v>
      </c>
      <c r="D438" s="60">
        <v>2010.0</v>
      </c>
      <c r="E438" s="57" t="s">
        <v>82</v>
      </c>
    </row>
    <row r="439" ht="12.75" customHeight="1">
      <c r="A439" s="57" t="s">
        <v>735</v>
      </c>
      <c r="B439" s="57" t="s">
        <v>748</v>
      </c>
      <c r="C439" s="57" t="s">
        <v>122</v>
      </c>
      <c r="D439" s="60">
        <v>2010.0</v>
      </c>
      <c r="E439" s="57" t="s">
        <v>82</v>
      </c>
    </row>
    <row r="440" ht="12.75" customHeight="1">
      <c r="A440" s="57" t="s">
        <v>735</v>
      </c>
      <c r="B440" s="57" t="s">
        <v>749</v>
      </c>
      <c r="C440" s="57" t="s">
        <v>750</v>
      </c>
      <c r="D440" s="60">
        <v>2011.0</v>
      </c>
      <c r="E440" s="57" t="s">
        <v>82</v>
      </c>
    </row>
    <row r="441" ht="12.75" customHeight="1">
      <c r="A441" s="57" t="s">
        <v>735</v>
      </c>
      <c r="B441" s="57" t="s">
        <v>751</v>
      </c>
      <c r="C441" s="57" t="s">
        <v>752</v>
      </c>
      <c r="D441" s="60">
        <v>2011.0</v>
      </c>
      <c r="E441" s="57" t="s">
        <v>82</v>
      </c>
    </row>
    <row r="442" ht="12.75" customHeight="1">
      <c r="A442" s="57" t="s">
        <v>735</v>
      </c>
      <c r="B442" s="57" t="s">
        <v>301</v>
      </c>
      <c r="C442" s="57" t="s">
        <v>753</v>
      </c>
      <c r="D442" s="60">
        <v>2011.0</v>
      </c>
      <c r="E442" s="57" t="s">
        <v>20</v>
      </c>
    </row>
    <row r="443" ht="12.75" customHeight="1">
      <c r="A443" s="57" t="s">
        <v>735</v>
      </c>
      <c r="B443" s="57" t="s">
        <v>754</v>
      </c>
      <c r="C443" s="57" t="s">
        <v>755</v>
      </c>
      <c r="D443" s="60">
        <v>2011.0</v>
      </c>
      <c r="E443" s="57" t="s">
        <v>82</v>
      </c>
    </row>
    <row r="444" ht="12.75" customHeight="1">
      <c r="A444" s="57" t="s">
        <v>735</v>
      </c>
      <c r="B444" s="57" t="s">
        <v>756</v>
      </c>
      <c r="C444" s="57" t="s">
        <v>684</v>
      </c>
      <c r="D444" s="60">
        <v>2011.0</v>
      </c>
      <c r="E444" s="57" t="s">
        <v>20</v>
      </c>
    </row>
    <row r="445" ht="12.75" customHeight="1">
      <c r="A445" s="57" t="s">
        <v>735</v>
      </c>
      <c r="B445" s="57" t="s">
        <v>757</v>
      </c>
      <c r="C445" s="57" t="s">
        <v>758</v>
      </c>
      <c r="D445" s="60">
        <v>2011.0</v>
      </c>
      <c r="E445" s="57" t="s">
        <v>82</v>
      </c>
    </row>
    <row r="446" ht="12.75" customHeight="1">
      <c r="A446" s="57" t="s">
        <v>735</v>
      </c>
      <c r="B446" s="57" t="s">
        <v>759</v>
      </c>
      <c r="C446" s="57" t="s">
        <v>760</v>
      </c>
      <c r="D446" s="60">
        <v>2010.0</v>
      </c>
      <c r="E446" s="57" t="s">
        <v>20</v>
      </c>
    </row>
    <row r="447" ht="12.75" customHeight="1">
      <c r="A447" s="57" t="s">
        <v>735</v>
      </c>
      <c r="B447" s="57" t="s">
        <v>436</v>
      </c>
      <c r="C447" s="57" t="s">
        <v>761</v>
      </c>
      <c r="D447" s="60">
        <v>2010.0</v>
      </c>
      <c r="E447" s="57" t="s">
        <v>82</v>
      </c>
    </row>
    <row r="448" ht="12.75" customHeight="1">
      <c r="A448" s="57" t="s">
        <v>735</v>
      </c>
      <c r="B448" s="57" t="s">
        <v>762</v>
      </c>
      <c r="C448" s="57" t="s">
        <v>763</v>
      </c>
      <c r="D448" s="60">
        <v>2010.0</v>
      </c>
      <c r="E448" s="57" t="s">
        <v>20</v>
      </c>
    </row>
    <row r="449" ht="12.75" customHeight="1">
      <c r="A449" s="57" t="s">
        <v>735</v>
      </c>
      <c r="B449" s="57" t="s">
        <v>125</v>
      </c>
      <c r="C449" s="57" t="s">
        <v>764</v>
      </c>
      <c r="D449" s="60">
        <v>2011.0</v>
      </c>
      <c r="E449" s="57" t="s">
        <v>20</v>
      </c>
    </row>
    <row r="450" ht="12.75" customHeight="1">
      <c r="A450" s="57" t="s">
        <v>735</v>
      </c>
      <c r="B450" s="57" t="s">
        <v>765</v>
      </c>
      <c r="C450" s="57" t="s">
        <v>277</v>
      </c>
      <c r="D450" s="60">
        <v>2011.0</v>
      </c>
      <c r="E450" s="57" t="s">
        <v>82</v>
      </c>
    </row>
    <row r="451" ht="12.75" customHeight="1">
      <c r="A451" s="61"/>
      <c r="B451" s="62"/>
      <c r="C451" s="63"/>
      <c r="D451" s="60"/>
      <c r="E451" s="64"/>
    </row>
    <row r="452" ht="12.75" customHeight="1">
      <c r="A452" s="65"/>
      <c r="B452" s="66"/>
      <c r="C452" s="67"/>
      <c r="D452" s="60"/>
      <c r="E452" s="64"/>
    </row>
    <row r="453" ht="12.75" customHeight="1">
      <c r="A453" s="61"/>
      <c r="B453" s="62"/>
      <c r="C453" s="63"/>
      <c r="D453" s="60"/>
      <c r="E453" s="64"/>
    </row>
    <row r="454" ht="12.75" customHeight="1">
      <c r="A454" s="65"/>
      <c r="B454" s="66"/>
      <c r="C454" s="67"/>
      <c r="D454" s="60"/>
      <c r="E454" s="64"/>
    </row>
    <row r="455" ht="12.75" customHeight="1">
      <c r="A455" s="61"/>
      <c r="B455" s="62"/>
      <c r="C455" s="63"/>
      <c r="D455" s="59"/>
      <c r="E455" s="64"/>
    </row>
    <row r="456" ht="12.75" customHeight="1">
      <c r="A456" s="61"/>
      <c r="B456" s="62"/>
      <c r="C456" s="63"/>
      <c r="D456" s="60"/>
      <c r="E456" s="64"/>
    </row>
    <row r="457" ht="12.75" customHeight="1">
      <c r="A457" s="65"/>
      <c r="B457" s="66"/>
      <c r="C457" s="67"/>
      <c r="D457" s="59"/>
      <c r="E457" s="64"/>
    </row>
    <row r="458" ht="12.75" customHeight="1">
      <c r="A458" s="65"/>
      <c r="B458" s="66"/>
      <c r="C458" s="67"/>
      <c r="D458" s="60"/>
      <c r="E458" s="64"/>
    </row>
    <row r="459" ht="12.75" customHeight="1">
      <c r="A459" s="61"/>
      <c r="B459" s="62"/>
      <c r="C459" s="63"/>
      <c r="D459" s="59"/>
      <c r="E459" s="64"/>
    </row>
    <row r="460" ht="12.75" customHeight="1">
      <c r="A460" s="61"/>
      <c r="B460" s="62"/>
      <c r="C460" s="63"/>
      <c r="D460" s="60"/>
      <c r="E460" s="64"/>
    </row>
    <row r="461" ht="12.75" customHeight="1">
      <c r="A461" s="65"/>
      <c r="B461" s="66"/>
      <c r="C461" s="67"/>
      <c r="D461" s="59"/>
      <c r="E461" s="64"/>
    </row>
    <row r="462" ht="12.75" customHeight="1">
      <c r="A462" s="65"/>
      <c r="B462" s="66"/>
      <c r="C462" s="67"/>
      <c r="D462" s="60"/>
      <c r="E462" s="64"/>
    </row>
    <row r="463" ht="12.75" customHeight="1">
      <c r="A463" s="61"/>
      <c r="B463" s="62"/>
      <c r="C463" s="63"/>
      <c r="D463" s="59"/>
      <c r="E463" s="64"/>
    </row>
    <row r="464" ht="12.75" customHeight="1">
      <c r="A464" s="61"/>
      <c r="B464" s="62"/>
      <c r="C464" s="63"/>
      <c r="D464" s="60"/>
      <c r="E464" s="64"/>
    </row>
    <row r="465" ht="12.75" customHeight="1">
      <c r="A465" s="65"/>
      <c r="B465" s="66"/>
      <c r="C465" s="67"/>
      <c r="D465" s="59"/>
      <c r="E465" s="64"/>
    </row>
    <row r="466" ht="12.75" customHeight="1">
      <c r="A466" s="65"/>
      <c r="B466" s="66"/>
      <c r="C466" s="67"/>
      <c r="D466" s="60"/>
      <c r="E466" s="64"/>
    </row>
    <row r="467" ht="12.75" customHeight="1">
      <c r="A467" s="61"/>
      <c r="B467" s="62"/>
      <c r="C467" s="63"/>
      <c r="D467" s="59"/>
      <c r="E467" s="64"/>
    </row>
    <row r="468" ht="12.75" customHeight="1">
      <c r="A468" s="61"/>
      <c r="B468" s="62"/>
      <c r="C468" s="63"/>
      <c r="D468" s="60"/>
      <c r="E468" s="64"/>
    </row>
    <row r="469" ht="12.75" customHeight="1">
      <c r="A469" s="65"/>
      <c r="B469" s="66"/>
      <c r="C469" s="67"/>
      <c r="D469" s="59"/>
      <c r="E469" s="64"/>
    </row>
    <row r="470" ht="12.75" customHeight="1">
      <c r="A470" s="65"/>
      <c r="B470" s="66"/>
      <c r="C470" s="67"/>
      <c r="D470" s="60"/>
      <c r="E470" s="64"/>
    </row>
    <row r="471" ht="12.75" customHeight="1">
      <c r="A471" s="61"/>
      <c r="B471" s="62"/>
      <c r="C471" s="63"/>
      <c r="D471" s="60"/>
      <c r="E471" s="64"/>
    </row>
    <row r="472" ht="12.75" customHeight="1">
      <c r="A472" s="65"/>
      <c r="B472" s="66"/>
      <c r="C472" s="67"/>
      <c r="D472" s="60"/>
      <c r="E472" s="64"/>
    </row>
    <row r="473" ht="12.75" customHeight="1">
      <c r="A473" s="61"/>
      <c r="B473" s="62"/>
      <c r="C473" s="63"/>
      <c r="D473" s="60"/>
      <c r="E473" s="64"/>
    </row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E$473"/>
  <conditionalFormatting sqref="E2:E14">
    <cfRule type="cellIs" dxfId="5" priority="1" operator="equal">
      <formula>"M"</formula>
    </cfRule>
  </conditionalFormatting>
  <conditionalFormatting sqref="E2:E14">
    <cfRule type="cellIs" dxfId="6" priority="2" operator="equal">
      <formula>"W"</formula>
    </cfRule>
  </conditionalFormatting>
  <conditionalFormatting sqref="E15:E34">
    <cfRule type="cellIs" dxfId="5" priority="3" operator="equal">
      <formula>"M"</formula>
    </cfRule>
  </conditionalFormatting>
  <conditionalFormatting sqref="E15:E34">
    <cfRule type="cellIs" dxfId="6" priority="4" operator="equal">
      <formula>"W"</formula>
    </cfRule>
  </conditionalFormatting>
  <conditionalFormatting sqref="E35:E473">
    <cfRule type="cellIs" dxfId="5" priority="5" operator="equal">
      <formula>"M"</formula>
    </cfRule>
  </conditionalFormatting>
  <conditionalFormatting sqref="E35:E473">
    <cfRule type="cellIs" dxfId="6" priority="6" operator="equal">
      <formula>"W"</formula>
    </cfRule>
  </conditionalFormatting>
  <printOptions/>
  <pageMargins bottom="0.984251969" footer="0.0" header="0.0" left="0.787401575" right="0.787401575" top="0.984251969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9.57"/>
    <col customWidth="1" min="7" max="7" width="29.57"/>
  </cols>
  <sheetData>
    <row r="1">
      <c r="A1" s="68" t="s">
        <v>0</v>
      </c>
      <c r="B1" s="68" t="s">
        <v>766</v>
      </c>
      <c r="C1" s="68" t="s">
        <v>767</v>
      </c>
      <c r="D1" s="68" t="s">
        <v>768</v>
      </c>
      <c r="E1" s="68" t="s">
        <v>769</v>
      </c>
      <c r="F1" s="68" t="s">
        <v>770</v>
      </c>
      <c r="G1" s="69" t="s">
        <v>771</v>
      </c>
    </row>
    <row r="2">
      <c r="A2" s="70" t="str">
        <f>IFERROR(__xludf.DUMMYFUNCTION("SORT(UNIQUE(FILTER(Eingabe!A2:A474, Eingabe!A2:A474&lt;&gt;"""")))"),"R5A")</f>
        <v>R5A</v>
      </c>
      <c r="B2" s="70">
        <f>IF(A2="", "", COUNTIF(Eingabe!A$2:A$474, A2))</f>
        <v>25</v>
      </c>
      <c r="C2" s="70">
        <f>IF(A2="", "", COUNTIFS(Eingabe!A$2:A$474, A2, Eingabe!S$2:S$474, "Ehrenurkunde"))</f>
        <v>4</v>
      </c>
      <c r="D2" s="70">
        <f>IF(A2="", "", COUNTIFS(Eingabe!A$2:A$474, A2, Eingabe!S$2:S$474, "Siegerurkunde"))</f>
        <v>8</v>
      </c>
      <c r="E2" s="70">
        <f>IF(A2="", "", COUNTIFS(Eingabe!A$2:A$474, A2, Eingabe!S$2:S$474, "Teilnehmerurkunde"))</f>
        <v>12</v>
      </c>
      <c r="F2" s="70">
        <f>IF(A2="", "", AVERAGEIF(Eingabe!A$2:A$474, A2, Eingabe!R$2:R$474))</f>
        <v>699.4</v>
      </c>
      <c r="G2" s="70" t="str">
        <f>IFERROR(__xludf.DUMMYFUNCTION("SPARKLINE({F2 , MAX($F$2:$F$19)-F2}, {""charttype"" , ""bar"" ; ""color1"" , ""orange"" ; ""color2"" , ""white""})"),"")</f>
        <v/>
      </c>
      <c r="H2" s="70">
        <f>MAX($F$2:$F$19)</f>
        <v>837.4074074</v>
      </c>
    </row>
    <row r="3">
      <c r="A3" s="70" t="str">
        <f>IFERROR(__xludf.DUMMYFUNCTION("""COMPUTED_VALUE"""),"R5B")</f>
        <v>R5B</v>
      </c>
      <c r="B3" s="70">
        <f>IF(A3="", "", COUNTIF(Eingabe!A$2:A$474, A3))</f>
        <v>17</v>
      </c>
      <c r="C3" s="70">
        <f>IF(A3="", "", COUNTIFS(Eingabe!A$2:A$474, A3, Eingabe!S$2:S$474, "Ehrenurkunde"))</f>
        <v>5</v>
      </c>
      <c r="D3" s="70">
        <f>IF(A3="", "", COUNTIFS(Eingabe!A$2:A$474, A3, Eingabe!S$2:S$474, "Siegerurkunde"))</f>
        <v>5</v>
      </c>
      <c r="E3" s="70">
        <f>IF(A3="", "", COUNTIFS(Eingabe!A$2:A$474, A3, Eingabe!S$2:S$474, "Teilnehmerurkunde"))</f>
        <v>6</v>
      </c>
      <c r="F3" s="70">
        <f>IF(A3="", "", AVERAGEIF(Eingabe!A$2:A$474, A3, Eingabe!R$2:R$474))</f>
        <v>724.7647059</v>
      </c>
      <c r="G3" s="70" t="str">
        <f>IFERROR(__xludf.DUMMYFUNCTION("SPARKLINE({F3 , MAX($F$2:$F$19)-F3}, {""charttype"" , ""bar"" ; ""color1"" , ""orange"" ; ""color2"" , ""white""})"),"")</f>
        <v/>
      </c>
    </row>
    <row r="4">
      <c r="A4" s="70" t="str">
        <f>IFERROR(__xludf.DUMMYFUNCTION("""COMPUTED_VALUE"""),"R5C")</f>
        <v>R5C</v>
      </c>
      <c r="B4" s="70">
        <f>IF(A4="", "", COUNTIF(Eingabe!A$2:A$474, A4))</f>
        <v>26</v>
      </c>
      <c r="C4" s="70">
        <f>IF(A4="", "", COUNTIFS(Eingabe!A$2:A$474, A4, Eingabe!S$2:S$474, "Ehrenurkunde"))</f>
        <v>1</v>
      </c>
      <c r="D4" s="70">
        <f>IF(A4="", "", COUNTIFS(Eingabe!A$2:A$474, A4, Eingabe!S$2:S$474, "Siegerurkunde"))</f>
        <v>13</v>
      </c>
      <c r="E4" s="70">
        <f>IF(A4="", "", COUNTIFS(Eingabe!A$2:A$474, A4, Eingabe!S$2:S$474, "Teilnehmerurkunde"))</f>
        <v>10</v>
      </c>
      <c r="F4" s="70">
        <f>IF(A4="", "", AVERAGEIF(Eingabe!A$2:A$474, A4, Eingabe!R$2:R$474))</f>
        <v>625.5769231</v>
      </c>
      <c r="G4" s="70" t="str">
        <f>IFERROR(__xludf.DUMMYFUNCTION("SPARKLINE({F4 , MAX($F$2:$F$19)-F4}, {""charttype"" , ""bar"" ; ""color1"" , ""orange"" ; ""color2"" , ""white""})"),"")</f>
        <v/>
      </c>
    </row>
    <row r="5">
      <c r="A5" s="70" t="str">
        <f>IFERROR(__xludf.DUMMYFUNCTION("""COMPUTED_VALUE"""),"R6A")</f>
        <v>R6A</v>
      </c>
      <c r="B5" s="70">
        <f>IF(A5="", "", COUNTIF(Eingabe!A$2:A$474, A5))</f>
        <v>33</v>
      </c>
      <c r="C5" s="70">
        <f>IF(A5="", "", COUNTIFS(Eingabe!A$2:A$474, A5, Eingabe!S$2:S$474, "Ehrenurkunde"))</f>
        <v>5</v>
      </c>
      <c r="D5" s="70">
        <f>IF(A5="", "", COUNTIFS(Eingabe!A$2:A$474, A5, Eingabe!S$2:S$474, "Siegerurkunde"))</f>
        <v>10</v>
      </c>
      <c r="E5" s="70">
        <f>IF(A5="", "", COUNTIFS(Eingabe!A$2:A$474, A5, Eingabe!S$2:S$474, "Teilnehmerurkunde"))</f>
        <v>9</v>
      </c>
      <c r="F5" s="70">
        <f>IF(A5="", "", AVERAGEIF(Eingabe!A$2:A$474, A5, Eingabe!R$2:R$474))</f>
        <v>606.1515152</v>
      </c>
      <c r="G5" s="70" t="str">
        <f>IFERROR(__xludf.DUMMYFUNCTION("SPARKLINE({F5 , MAX($F$2:$F$19)-F5}, {""charttype"" , ""bar"" ; ""color1"" , ""orange"" ; ""color2"" , ""white""})"),"")</f>
        <v/>
      </c>
    </row>
    <row r="6">
      <c r="A6" s="70" t="str">
        <f>IFERROR(__xludf.DUMMYFUNCTION("""COMPUTED_VALUE"""),"R6B")</f>
        <v>R6B</v>
      </c>
      <c r="B6" s="70">
        <f>IF(A6="", "", COUNTIF(Eingabe!A$2:A$474, A6))</f>
        <v>31</v>
      </c>
      <c r="C6" s="70">
        <f>IF(A6="", "", COUNTIFS(Eingabe!A$2:A$474, A6, Eingabe!S$2:S$474, "Ehrenurkunde"))</f>
        <v>0</v>
      </c>
      <c r="D6" s="70">
        <f>IF(A6="", "", COUNTIFS(Eingabe!A$2:A$474, A6, Eingabe!S$2:S$474, "Siegerurkunde"))</f>
        <v>12</v>
      </c>
      <c r="E6" s="70">
        <f>IF(A6="", "", COUNTIFS(Eingabe!A$2:A$474, A6, Eingabe!S$2:S$474, "Teilnehmerurkunde"))</f>
        <v>16</v>
      </c>
      <c r="F6" s="70">
        <f>IF(A6="", "", AVERAGEIF(Eingabe!A$2:A$474, A6, Eingabe!R$2:R$474))</f>
        <v>647.3548387</v>
      </c>
      <c r="G6" s="70" t="str">
        <f>IFERROR(__xludf.DUMMYFUNCTION("SPARKLINE({F6 , MAX($F$2:$F$19)-F6}, {""charttype"" , ""bar"" ; ""color1"" , ""orange"" ; ""color2"" , ""white""})"),"")</f>
        <v/>
      </c>
    </row>
    <row r="7">
      <c r="A7" s="70" t="str">
        <f>IFERROR(__xludf.DUMMYFUNCTION("""COMPUTED_VALUE"""),"R6C")</f>
        <v>R6C</v>
      </c>
      <c r="B7" s="70">
        <f>IF(A7="", "", COUNTIF(Eingabe!A$2:A$474, A7))</f>
        <v>30</v>
      </c>
      <c r="C7" s="70">
        <f>IF(A7="", "", COUNTIFS(Eingabe!A$2:A$474, A7, Eingabe!S$2:S$474, "Ehrenurkunde"))</f>
        <v>2</v>
      </c>
      <c r="D7" s="70">
        <f>IF(A7="", "", COUNTIFS(Eingabe!A$2:A$474, A7, Eingabe!S$2:S$474, "Siegerurkunde"))</f>
        <v>12</v>
      </c>
      <c r="E7" s="70">
        <f>IF(A7="", "", COUNTIFS(Eingabe!A$2:A$474, A7, Eingabe!S$2:S$474, "Teilnehmerurkunde"))</f>
        <v>13</v>
      </c>
      <c r="F7" s="70">
        <f>IF(A7="", "", AVERAGEIF(Eingabe!A$2:A$474, A7, Eingabe!R$2:R$474))</f>
        <v>715.5333333</v>
      </c>
      <c r="G7" s="70" t="str">
        <f>IFERROR(__xludf.DUMMYFUNCTION("SPARKLINE({F7 , MAX($F$2:$F$19)-F7}, {""charttype"" , ""bar"" ; ""color1"" , ""orange"" ; ""color2"" , ""white""})"),"")</f>
        <v/>
      </c>
    </row>
    <row r="8">
      <c r="A8" s="70" t="str">
        <f>IFERROR(__xludf.DUMMYFUNCTION("""COMPUTED_VALUE"""),"R7A")</f>
        <v>R7A</v>
      </c>
      <c r="B8" s="70">
        <f>IF(A8="", "", COUNTIF(Eingabe!A$2:A$474, A8))</f>
        <v>22</v>
      </c>
      <c r="C8" s="70">
        <f>IF(A8="", "", COUNTIFS(Eingabe!A$2:A$474, A8, Eingabe!S$2:S$474, "Ehrenurkunde"))</f>
        <v>1</v>
      </c>
      <c r="D8" s="70">
        <f>IF(A8="", "", COUNTIFS(Eingabe!A$2:A$474, A8, Eingabe!S$2:S$474, "Siegerurkunde"))</f>
        <v>6</v>
      </c>
      <c r="E8" s="70">
        <f>IF(A8="", "", COUNTIFS(Eingabe!A$2:A$474, A8, Eingabe!S$2:S$474, "Teilnehmerurkunde"))</f>
        <v>12</v>
      </c>
      <c r="F8" s="70">
        <f>IF(A8="", "", AVERAGEIF(Eingabe!A$2:A$474, A8, Eingabe!R$2:R$474))</f>
        <v>681.1818182</v>
      </c>
      <c r="G8" s="70" t="str">
        <f>IFERROR(__xludf.DUMMYFUNCTION("SPARKLINE({F8 , MAX($F$2:$F$19)-F8}, {""charttype"" , ""bar"" ; ""color1"" , ""orange"" ; ""color2"" , ""white""})"),"")</f>
        <v/>
      </c>
    </row>
    <row r="9">
      <c r="A9" s="70" t="str">
        <f>IFERROR(__xludf.DUMMYFUNCTION("""COMPUTED_VALUE"""),"R7B")</f>
        <v>R7B</v>
      </c>
      <c r="B9" s="70">
        <f>IF(A9="", "", COUNTIF(Eingabe!A$2:A$474, A9))</f>
        <v>27</v>
      </c>
      <c r="C9" s="70">
        <f>IF(A9="", "", COUNTIFS(Eingabe!A$2:A$474, A9, Eingabe!S$2:S$474, "Ehrenurkunde"))</f>
        <v>3</v>
      </c>
      <c r="D9" s="70">
        <f>IF(A9="", "", COUNTIFS(Eingabe!A$2:A$474, A9, Eingabe!S$2:S$474, "Siegerurkunde"))</f>
        <v>11</v>
      </c>
      <c r="E9" s="70">
        <f>IF(A9="", "", COUNTIFS(Eingabe!A$2:A$474, A9, Eingabe!S$2:S$474, "Teilnehmerurkunde"))</f>
        <v>12</v>
      </c>
      <c r="F9" s="70">
        <f>IF(A9="", "", AVERAGEIF(Eingabe!A$2:A$474, A9, Eingabe!R$2:R$474))</f>
        <v>837.4074074</v>
      </c>
      <c r="G9" s="70" t="str">
        <f>IFERROR(__xludf.DUMMYFUNCTION("SPARKLINE({F9 , MAX($F$2:$F$19)-F9}, {""charttype"" , ""bar"" ; ""color1"" , ""orange"" ; ""color2"" , ""white""})"),"")</f>
        <v/>
      </c>
    </row>
    <row r="10">
      <c r="A10" s="70" t="str">
        <f>IFERROR(__xludf.DUMMYFUNCTION("""COMPUTED_VALUE"""),"R7C")</f>
        <v>R7C</v>
      </c>
      <c r="B10" s="70">
        <f>IF(A10="", "", COUNTIF(Eingabe!A$2:A$474, A10))</f>
        <v>21</v>
      </c>
      <c r="C10" s="70">
        <f>IF(A10="", "", COUNTIFS(Eingabe!A$2:A$474, A10, Eingabe!S$2:S$474, "Ehrenurkunde"))</f>
        <v>1</v>
      </c>
      <c r="D10" s="70">
        <f>IF(A10="", "", COUNTIFS(Eingabe!A$2:A$474, A10, Eingabe!S$2:S$474, "Siegerurkunde"))</f>
        <v>9</v>
      </c>
      <c r="E10" s="70">
        <f>IF(A10="", "", COUNTIFS(Eingabe!A$2:A$474, A10, Eingabe!S$2:S$474, "Teilnehmerurkunde"))</f>
        <v>9</v>
      </c>
      <c r="F10" s="70">
        <f>IF(A10="", "", AVERAGEIF(Eingabe!A$2:A$474, A10, Eingabe!R$2:R$474))</f>
        <v>768.1428571</v>
      </c>
      <c r="G10" s="70" t="str">
        <f>IFERROR(__xludf.DUMMYFUNCTION("SPARKLINE({F10 , MAX($F$2:$F$19)-F10}, {""charttype"" , ""bar"" ; ""color1"" , ""orange"" ; ""color2"" , ""white""})"),"")</f>
        <v/>
      </c>
    </row>
    <row r="11">
      <c r="A11" s="70" t="str">
        <f>IFERROR(__xludf.DUMMYFUNCTION("""COMPUTED_VALUE"""),"R7D")</f>
        <v>R7D</v>
      </c>
      <c r="B11" s="70">
        <f>IF(A11="", "", COUNTIF(Eingabe!A$2:A$474, A11))</f>
        <v>21</v>
      </c>
      <c r="C11" s="70">
        <f>IF(A11="", "", COUNTIFS(Eingabe!A$2:A$474, A11, Eingabe!S$2:S$474, "Ehrenurkunde"))</f>
        <v>1</v>
      </c>
      <c r="D11" s="70">
        <f>IF(A11="", "", COUNTIFS(Eingabe!A$2:A$474, A11, Eingabe!S$2:S$474, "Siegerurkunde"))</f>
        <v>7</v>
      </c>
      <c r="E11" s="70">
        <f>IF(A11="", "", COUNTIFS(Eingabe!A$2:A$474, A11, Eingabe!S$2:S$474, "Teilnehmerurkunde"))</f>
        <v>7</v>
      </c>
      <c r="F11" s="70">
        <f>IF(A11="", "", AVERAGEIF(Eingabe!A$2:A$474, A11, Eingabe!R$2:R$474))</f>
        <v>572.8571429</v>
      </c>
      <c r="G11" s="70" t="str">
        <f>IFERROR(__xludf.DUMMYFUNCTION("SPARKLINE({F11 , MAX($F$2:$F$19)-F11}, {""charttype"" , ""bar"" ; ""color1"" , ""orange"" ; ""color2"" , ""white""})"),"")</f>
        <v/>
      </c>
    </row>
    <row r="12">
      <c r="A12" s="70" t="str">
        <f>IFERROR(__xludf.DUMMYFUNCTION("""COMPUTED_VALUE"""),"R8A")</f>
        <v>R8A</v>
      </c>
      <c r="B12" s="70">
        <f>IF(A12="", "", COUNTIF(Eingabe!A$2:A$474, A12))</f>
        <v>26</v>
      </c>
      <c r="C12" s="70">
        <f>IF(A12="", "", COUNTIFS(Eingabe!A$2:A$474, A12, Eingabe!S$2:S$474, "Ehrenurkunde"))</f>
        <v>1</v>
      </c>
      <c r="D12" s="70">
        <f>IF(A12="", "", COUNTIFS(Eingabe!A$2:A$474, A12, Eingabe!S$2:S$474, "Siegerurkunde"))</f>
        <v>11</v>
      </c>
      <c r="E12" s="70">
        <f>IF(A12="", "", COUNTIFS(Eingabe!A$2:A$474, A12, Eingabe!S$2:S$474, "Teilnehmerurkunde"))</f>
        <v>6</v>
      </c>
      <c r="F12" s="70">
        <f>IF(A12="", "", AVERAGEIF(Eingabe!A$2:A$474, A12, Eingabe!R$2:R$474))</f>
        <v>641.0384615</v>
      </c>
      <c r="G12" s="70" t="str">
        <f>IFERROR(__xludf.DUMMYFUNCTION("SPARKLINE({F12 , MAX($F$2:$F$19)-F12}, {""charttype"" , ""bar"" ; ""color1"" , ""orange"" ; ""color2"" , ""white""})"),"")</f>
        <v/>
      </c>
    </row>
    <row r="13">
      <c r="A13" s="70" t="str">
        <f>IFERROR(__xludf.DUMMYFUNCTION("""COMPUTED_VALUE"""),"R8B")</f>
        <v>R8B</v>
      </c>
      <c r="B13" s="70">
        <f>IF(A13="", "", COUNTIF(Eingabe!A$2:A$474, A13))</f>
        <v>24</v>
      </c>
      <c r="C13" s="70">
        <f>IF(A13="", "", COUNTIFS(Eingabe!A$2:A$474, A13, Eingabe!S$2:S$474, "Ehrenurkunde"))</f>
        <v>3</v>
      </c>
      <c r="D13" s="70">
        <f>IF(A13="", "", COUNTIFS(Eingabe!A$2:A$474, A13, Eingabe!S$2:S$474, "Siegerurkunde"))</f>
        <v>5</v>
      </c>
      <c r="E13" s="70">
        <f>IF(A13="", "", COUNTIFS(Eingabe!A$2:A$474, A13, Eingabe!S$2:S$474, "Teilnehmerurkunde"))</f>
        <v>10</v>
      </c>
      <c r="F13" s="70">
        <f>IF(A13="", "", AVERAGEIF(Eingabe!A$2:A$474, A13, Eingabe!R$2:R$474))</f>
        <v>676.0416667</v>
      </c>
      <c r="G13" s="70" t="str">
        <f>IFERROR(__xludf.DUMMYFUNCTION("SPARKLINE({F13 , MAX($F$2:$F$19)-F13}, {""charttype"" , ""bar"" ; ""color1"" , ""orange"" ; ""color2"" , ""white""})"),"")</f>
        <v/>
      </c>
    </row>
    <row r="14">
      <c r="A14" s="70" t="str">
        <f>IFERROR(__xludf.DUMMYFUNCTION("""COMPUTED_VALUE"""),"R8C")</f>
        <v>R8C</v>
      </c>
      <c r="B14" s="70">
        <f>IF(A14="", "", COUNTIF(Eingabe!A$2:A$474, A14))</f>
        <v>22</v>
      </c>
      <c r="C14" s="70">
        <f>IF(A14="", "", COUNTIFS(Eingabe!A$2:A$474, A14, Eingabe!S$2:S$474, "Ehrenurkunde"))</f>
        <v>0</v>
      </c>
      <c r="D14" s="70">
        <f>IF(A14="", "", COUNTIFS(Eingabe!A$2:A$474, A14, Eingabe!S$2:S$474, "Siegerurkunde"))</f>
        <v>9</v>
      </c>
      <c r="E14" s="70">
        <f>IF(A14="", "", COUNTIFS(Eingabe!A$2:A$474, A14, Eingabe!S$2:S$474, "Teilnehmerurkunde"))</f>
        <v>8</v>
      </c>
      <c r="F14" s="70">
        <f>IF(A14="", "", AVERAGEIF(Eingabe!A$2:A$474, A14, Eingabe!R$2:R$474))</f>
        <v>687</v>
      </c>
      <c r="G14" s="70" t="str">
        <f>IFERROR(__xludf.DUMMYFUNCTION("SPARKLINE({F14 , MAX($F$2:$F$19)-F14}, {""charttype"" , ""bar"" ; ""color1"" , ""orange"" ; ""color2"" , ""white""})"),"")</f>
        <v/>
      </c>
    </row>
    <row r="15">
      <c r="A15" s="70" t="str">
        <f>IFERROR(__xludf.DUMMYFUNCTION("""COMPUTED_VALUE"""),"R8D")</f>
        <v>R8D</v>
      </c>
      <c r="B15" s="70">
        <f>IF(A15="", "", COUNTIF(Eingabe!A$2:A$474, A15))</f>
        <v>28</v>
      </c>
      <c r="C15" s="70">
        <f>IF(A15="", "", COUNTIFS(Eingabe!A$2:A$474, A15, Eingabe!S$2:S$474, "Ehrenurkunde"))</f>
        <v>2</v>
      </c>
      <c r="D15" s="70">
        <f>IF(A15="", "", COUNTIFS(Eingabe!A$2:A$474, A15, Eingabe!S$2:S$474, "Siegerurkunde"))</f>
        <v>4</v>
      </c>
      <c r="E15" s="70">
        <f>IF(A15="", "", COUNTIFS(Eingabe!A$2:A$474, A15, Eingabe!S$2:S$474, "Teilnehmerurkunde"))</f>
        <v>9</v>
      </c>
      <c r="F15" s="70">
        <f>IF(A15="", "", AVERAGEIF(Eingabe!A$2:A$474, A15, Eingabe!R$2:R$474))</f>
        <v>440.1785714</v>
      </c>
      <c r="G15" s="70" t="str">
        <f>IFERROR(__xludf.DUMMYFUNCTION("SPARKLINE({F15 , MAX($F$2:$F$19)-F15}, {""charttype"" , ""bar"" ; ""color1"" , ""orange"" ; ""color2"" , ""white""})"),"")</f>
        <v/>
      </c>
    </row>
    <row r="16">
      <c r="A16" s="70" t="str">
        <f>IFERROR(__xludf.DUMMYFUNCTION("""COMPUTED_VALUE"""),"R9A")</f>
        <v>R9A</v>
      </c>
      <c r="B16" s="70">
        <f>IF(A16="", "", COUNTIF(Eingabe!A$2:A$474, A16))</f>
        <v>26</v>
      </c>
      <c r="C16" s="70">
        <f>IF(A16="", "", COUNTIFS(Eingabe!A$2:A$474, A16, Eingabe!S$2:S$474, "Ehrenurkunde"))</f>
        <v>7</v>
      </c>
      <c r="D16" s="70">
        <f>IF(A16="", "", COUNTIFS(Eingabe!A$2:A$474, A16, Eingabe!S$2:S$474, "Siegerurkunde"))</f>
        <v>8</v>
      </c>
      <c r="E16" s="70">
        <f>IF(A16="", "", COUNTIFS(Eingabe!A$2:A$474, A16, Eingabe!S$2:S$474, "Teilnehmerurkunde"))</f>
        <v>2</v>
      </c>
      <c r="F16" s="70">
        <f>IF(A16="", "", AVERAGEIF(Eingabe!A$2:A$474, A16, Eingabe!R$2:R$474))</f>
        <v>727.6538462</v>
      </c>
      <c r="G16" s="70" t="str">
        <f>IFERROR(__xludf.DUMMYFUNCTION("SPARKLINE({F16 , MAX($F$2:$F$19)-F16}, {""charttype"" , ""bar"" ; ""color1"" , ""orange"" ; ""color2"" , ""white""})"),"")</f>
        <v/>
      </c>
    </row>
    <row r="17">
      <c r="A17" s="70" t="str">
        <f>IFERROR(__xludf.DUMMYFUNCTION("""COMPUTED_VALUE"""),"R9B")</f>
        <v>R9B</v>
      </c>
      <c r="B17" s="70">
        <f>IF(A17="", "", COUNTIF(Eingabe!A$2:A$474, A17))</f>
        <v>23</v>
      </c>
      <c r="C17" s="70">
        <f>IF(A17="", "", COUNTIFS(Eingabe!A$2:A$474, A17, Eingabe!S$2:S$474, "Ehrenurkunde"))</f>
        <v>2</v>
      </c>
      <c r="D17" s="70">
        <f>IF(A17="", "", COUNTIFS(Eingabe!A$2:A$474, A17, Eingabe!S$2:S$474, "Siegerurkunde"))</f>
        <v>4</v>
      </c>
      <c r="E17" s="70">
        <f>IF(A17="", "", COUNTIFS(Eingabe!A$2:A$474, A17, Eingabe!S$2:S$474, "Teilnehmerurkunde"))</f>
        <v>12</v>
      </c>
      <c r="F17" s="70">
        <f>IF(A17="", "", AVERAGEIF(Eingabe!A$2:A$474, A17, Eingabe!R$2:R$474))</f>
        <v>715.2608696</v>
      </c>
      <c r="G17" s="70" t="str">
        <f>IFERROR(__xludf.DUMMYFUNCTION("SPARKLINE({F17 , MAX($F$2:$F$19)-F17}, {""charttype"" , ""bar"" ; ""color1"" , ""orange"" ; ""color2"" , ""white""})"),"")</f>
        <v/>
      </c>
    </row>
    <row r="18">
      <c r="A18" s="70" t="str">
        <f>IFERROR(__xludf.DUMMYFUNCTION("""COMPUTED_VALUE"""),"R9C")</f>
        <v>R9C</v>
      </c>
      <c r="B18" s="70">
        <f>IF(A18="", "", COUNTIF(Eingabe!A$2:A$474, A18))</f>
        <v>24</v>
      </c>
      <c r="C18" s="70">
        <f>IF(A18="", "", COUNTIFS(Eingabe!A$2:A$474, A18, Eingabe!S$2:S$474, "Ehrenurkunde"))</f>
        <v>1</v>
      </c>
      <c r="D18" s="70">
        <f>IF(A18="", "", COUNTIFS(Eingabe!A$2:A$474, A18, Eingabe!S$2:S$474, "Siegerurkunde"))</f>
        <v>0</v>
      </c>
      <c r="E18" s="70">
        <f>IF(A18="", "", COUNTIFS(Eingabe!A$2:A$474, A18, Eingabe!S$2:S$474, "Teilnehmerurkunde"))</f>
        <v>6</v>
      </c>
      <c r="F18" s="70">
        <f>IF(A18="", "", AVERAGEIF(Eingabe!A$2:A$474, A18, Eingabe!R$2:R$474))</f>
        <v>221.5833333</v>
      </c>
      <c r="G18" s="70" t="str">
        <f>IFERROR(__xludf.DUMMYFUNCTION("SPARKLINE({F18 , MAX($F$2:$F$19)-F18}, {""charttype"" , ""bar"" ; ""color1"" , ""orange"" ; ""color2"" , ""white""})"),"")</f>
        <v/>
      </c>
    </row>
    <row r="19">
      <c r="A19" s="70" t="str">
        <f>IFERROR(__xludf.DUMMYFUNCTION("""COMPUTED_VALUE"""),"R9D")</f>
        <v>R9D</v>
      </c>
      <c r="B19" s="70">
        <f>IF(A19="", "", COUNTIF(Eingabe!A$2:A$474, A19))</f>
        <v>24</v>
      </c>
      <c r="C19" s="70">
        <f>IF(A19="", "", COUNTIFS(Eingabe!A$2:A$474, A19, Eingabe!S$2:S$474, "Ehrenurkunde"))</f>
        <v>0</v>
      </c>
      <c r="D19" s="70">
        <f>IF(A19="", "", COUNTIFS(Eingabe!A$2:A$474, A19, Eingabe!S$2:S$474, "Siegerurkunde"))</f>
        <v>0</v>
      </c>
      <c r="E19" s="70">
        <f>IF(A19="", "", COUNTIFS(Eingabe!A$2:A$474, A19, Eingabe!S$2:S$474, "Teilnehmerurkunde"))</f>
        <v>19</v>
      </c>
      <c r="F19" s="70">
        <f>IF(A19="", "", AVERAGEIF(Eingabe!A$2:A$474, A19, Eingabe!R$2:R$474))</f>
        <v>516.125</v>
      </c>
      <c r="G19" s="70" t="str">
        <f>IFERROR(__xludf.DUMMYFUNCTION("SPARKLINE({F19 , MAX($F$2:$F$19)-F19}, {""charttype"" , ""bar"" ; ""color1"" , ""orange"" ; ""color2"" , ""white""})"),"")</f>
        <v/>
      </c>
    </row>
    <row r="20">
      <c r="B20" s="70" t="str">
        <f>IF(A20="", "", COUNTIF(Eingabe!A$2:A$474, A20))</f>
        <v/>
      </c>
      <c r="C20" s="70" t="str">
        <f>IF(A20="", "", COUNTIFS(Eingabe!A$2:A$474, A20, Eingabe!S$2:S$474, "Ehrenurkunde"))</f>
        <v/>
      </c>
      <c r="D20" s="70" t="str">
        <f>IF(A20="", "", COUNTIFS(Eingabe!A$2:A$474, A20, Eingabe!S$2:S$474, "Siegerurkunde"))</f>
        <v/>
      </c>
      <c r="E20" s="70" t="str">
        <f>IF(A20="", "", COUNTIFS(Eingabe!A$2:A$474, A20, Eingabe!S$2:S$474, "Teilnehmerurkunde"))</f>
        <v/>
      </c>
      <c r="F20" s="70" t="str">
        <f>IF(A20="", "", AVERAGEIF(Eingabe!A$2:A$474, A20, Eingabe!R$2:R$474))</f>
        <v/>
      </c>
    </row>
    <row r="21">
      <c r="J21" s="48" t="s">
        <v>772</v>
      </c>
      <c r="K21" s="48" t="s">
        <v>773</v>
      </c>
    </row>
    <row r="22">
      <c r="A22" s="48" t="s">
        <v>17</v>
      </c>
      <c r="B22" s="70">
        <f t="shared" ref="B22:E22" si="1">SUM(B2:B19)</f>
        <v>450</v>
      </c>
      <c r="C22" s="70">
        <f t="shared" si="1"/>
        <v>39</v>
      </c>
      <c r="D22" s="70">
        <f t="shared" si="1"/>
        <v>134</v>
      </c>
      <c r="E22" s="70">
        <f t="shared" si="1"/>
        <v>178</v>
      </c>
      <c r="H22" s="70">
        <f>SUM(C22:E22)</f>
        <v>351</v>
      </c>
      <c r="J22" s="48" t="s">
        <v>767</v>
      </c>
      <c r="K22" s="70">
        <f>C22</f>
        <v>39</v>
      </c>
    </row>
    <row r="23">
      <c r="J23" s="48" t="s">
        <v>768</v>
      </c>
      <c r="K23" s="70">
        <f>D22</f>
        <v>134</v>
      </c>
    </row>
    <row r="24">
      <c r="A24" s="48" t="s">
        <v>774</v>
      </c>
      <c r="B24" s="71">
        <f>H22/B22</f>
        <v>0.78</v>
      </c>
      <c r="J24" s="48" t="s">
        <v>769</v>
      </c>
      <c r="K24" s="70">
        <f>E22</f>
        <v>178</v>
      </c>
    </row>
    <row r="25">
      <c r="J25" s="48" t="s">
        <v>775</v>
      </c>
      <c r="K25" s="70">
        <f>B22-SUM(K22:K24)</f>
        <v>99</v>
      </c>
    </row>
  </sheetData>
  <drawing r:id="rId1"/>
</worksheet>
</file>